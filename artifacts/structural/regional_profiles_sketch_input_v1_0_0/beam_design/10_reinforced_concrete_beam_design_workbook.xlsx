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Dashboard" sheetId="1" r:id="rId1"/>
    <sheet name="Inputs" sheetId="2" r:id="rId2"/>
    <sheet name="Loads" sheetId="3" r:id="rId3"/>
    <sheet name="Analysis" sheetId="4" r:id="rId4"/>
    <sheet name="Flexure" sheetId="5" r:id="rId5"/>
    <sheet name="Shear" sheetId="6" r:id="rId6"/>
    <sheet name="Serviceability" sheetId="7" r:id="rId7"/>
    <sheet name="Detailing" sheetId="8" r:id="rId8"/>
    <sheet name="Stations" sheetId="9" r:id="rId9"/>
    <sheet name="QA" sheetId="10" r:id="rId10"/>
    <sheet name="Limitations" sheetId="11" r:id="rId11"/>
  </sheets>
  <calcPr calcId="191029" calcMode="auto" fullCalcOnLoad="1" forceFullCalc="1"/>
</workbook>
</file>

<file path=xl/styles.xml><?xml version="1.0" encoding="utf-8"?>
<styleSheet xmlns="http://schemas.openxmlformats.org/spreadsheetml/2006/main">
  <fonts count="5">
    <font>
      <sz val="10"/>
      <name val="Aptos"/>
    </font>
    <font>
      <b/>
      <color rgb="FFFFFFFF"/>
      <sz val="16"/>
      <name val="Aptos Display"/>
    </font>
    <font>
      <b/>
      <color rgb="FF0F172A"/>
      <sz val="11"/>
      <name val="Aptos"/>
    </font>
    <font>
      <b/>
      <color rgb="FFFFFFFF"/>
      <sz val="10"/>
      <name val="Aptos"/>
    </font>
    <font>
      <color rgb="FF334155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E9A8"/>
      </patternFill>
    </fill>
    <fill>
      <patternFill patternType="solid">
        <fgColor rgb="FF1D4ED8"/>
      </patternFill>
    </fill>
    <fill>
      <patternFill patternType="solid">
        <fgColor rgb="FFDCFCE7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1" xfId="0" applyFont="1" applyFill="1" applyBorder="1"/>
    <xf numFmtId="0" fontId="4" fillId="0" borderId="1" xfId="0" applyFont="1" applyBorder="1"/>
    <xf numFmtId="0" fontId="4" fillId="3" borderId="1" xfId="0" applyFont="1" applyFill="1" applyBorder="1"/>
    <xf numFmtId="0" fontId="4" fillId="0" borderId="1" xfId="0" applyFont="1" applyBorder="1"/>
    <xf numFmtId="2" fontId="4" fillId="0" borderId="1" xfId="0" applyNumberFormat="1" applyFont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0" borderId="1" xfId="0" applyFont="1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PROJECT PHOENIX - REINFORCED CONCRETE BEAM DESIGN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Status</t>
        </is>
      </c>
    </row>
    <row r="5" ht="19" customHeight="1">
      <c r="A5" s="10" t="inlineStr">
        <is>
          <t>Beam ID</t>
        </is>
      </c>
      <c r="B5" s="10" t="inlineStr">
        <is>
          <t>RCB-SUR-DEMO-001</t>
        </is>
      </c>
      <c r="C5" s="10" t="inlineStr">
        <is>
          <t/>
        </is>
      </c>
      <c r="D5" s="10" t="inlineStr">
        <is>
          <t>LINKED</t>
        </is>
      </c>
    </row>
    <row r="6" ht="19" customHeight="1">
      <c r="A6" s="10" t="inlineStr">
        <is>
          <t>Span</t>
        </is>
      </c>
      <c r="B6" s="7">
        <v>5.0</v>
      </c>
      <c r="C6" s="10" t="inlineStr">
        <is>
          <t>m</t>
        </is>
      </c>
      <c r="D6" s="10" t="inlineStr">
        <is>
          <t>INPUT</t>
        </is>
      </c>
    </row>
    <row r="7" ht="19" customHeight="1">
      <c r="A7" s="10" t="inlineStr">
        <is>
          <t>Section</t>
        </is>
      </c>
      <c r="B7" s="10" t="inlineStr">
        <is>
          <t>300 x 500</t>
        </is>
      </c>
      <c r="C7" s="10" t="inlineStr">
        <is>
          <t>mm</t>
        </is>
      </c>
      <c r="D7" s="10" t="inlineStr">
        <is>
          <t>INPUT</t>
        </is>
      </c>
    </row>
    <row r="8" ht="19" customHeight="1">
      <c r="A8" s="10" t="inlineStr">
        <is>
          <t>ULS maximum moment</t>
        </is>
      </c>
      <c r="B8" s="7">
        <v>114.188</v>
      </c>
      <c r="C8" s="10" t="inlineStr">
        <is>
          <t>kNm</t>
        </is>
      </c>
      <c r="D8" s="10" t="inlineStr">
        <is>
          <t>CALCULATED</t>
        </is>
      </c>
    </row>
    <row r="9" ht="19" customHeight="1">
      <c r="A9" s="10" t="inlineStr">
        <is>
          <t>ULS maximum shear</t>
        </is>
      </c>
      <c r="B9" s="7">
        <v>80.156</v>
      </c>
      <c r="C9" s="10" t="inlineStr">
        <is>
          <t>kN</t>
        </is>
      </c>
      <c r="D9" s="10" t="inlineStr">
        <is>
          <t>CALCULATED</t>
        </is>
      </c>
    </row>
    <row r="10" ht="19" customHeight="1">
      <c r="A10" s="10" t="inlineStr">
        <is>
          <t>Bottom reinforcement</t>
        </is>
      </c>
      <c r="B10" s="10" t="inlineStr">
        <is>
          <t>6T12 bottom (As=679 mm2; clear=26 mm)</t>
        </is>
      </c>
      <c r="C10" s="10" t="inlineStr">
        <is>
          <t/>
        </is>
      </c>
      <c r="D10" s="10" t="inlineStr">
        <is>
          <t>PRELIMINARY</t>
        </is>
      </c>
    </row>
    <row r="11" ht="19" customHeight="1">
      <c r="A11" s="10" t="inlineStr">
        <is>
          <t>Stirrups</t>
        </is>
      </c>
      <c r="B11" s="10" t="inlineStr">
        <is>
          <t>2-leg T8 stirrups @ 200 mm</t>
        </is>
      </c>
      <c r="C11" s="10" t="inlineStr">
        <is>
          <t/>
        </is>
      </c>
      <c r="D11" s="10" t="inlineStr">
        <is>
          <t>PRELIMINARY</t>
        </is>
      </c>
    </row>
    <row r="12" ht="19" customHeight="1">
      <c r="A12" s="10" t="inlineStr">
        <is>
          <t>Technical checks</t>
        </is>
      </c>
      <c r="B12" s="10" t="inlineStr">
        <is>
          <t>13/13</t>
        </is>
      </c>
      <c r="C12" s="10" t="inlineStr">
        <is>
          <t/>
        </is>
      </c>
      <c r="D12" s="10" t="inlineStr">
        <is>
          <t>PASS</t>
        </is>
      </c>
    </row>
    <row r="13" ht="19" customHeight="1">
      <c r="A13" s="10" t="inlineStr">
        <is>
          <t>Final structural release</t>
        </is>
      </c>
      <c r="B13" s="10" t="inlineStr">
        <is>
          <t>NO</t>
        </is>
      </c>
      <c r="C13" s="10" t="inlineStr">
        <is>
          <t/>
        </is>
      </c>
      <c r="D13" s="10" t="inlineStr">
        <is>
          <t>BLOCKED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INPUTS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Input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</row>
    <row r="5" ht="19" customHeight="1">
      <c r="A5" s="10" t="inlineStr">
        <is>
          <t>Span</t>
        </is>
      </c>
      <c r="B5" s="7">
        <v>5.0</v>
      </c>
      <c r="C5" s="10" t="inlineStr">
        <is>
          <t>m</t>
        </is>
      </c>
      <c r="D5" s="10" t="inlineStr">
        <is>
          <t>Configuration</t>
        </is>
      </c>
    </row>
    <row r="6" ht="19" customHeight="1">
      <c r="A6" s="10" t="inlineStr">
        <is>
          <t>Width</t>
        </is>
      </c>
      <c r="B6" s="7">
        <v>300.0</v>
      </c>
      <c r="C6" s="10" t="inlineStr">
        <is>
          <t>mm</t>
        </is>
      </c>
      <c r="D6" s="10" t="inlineStr">
        <is>
          <t>Configuration</t>
        </is>
      </c>
    </row>
    <row r="7" ht="19" customHeight="1">
      <c r="A7" s="10" t="inlineStr">
        <is>
          <t>Height</t>
        </is>
      </c>
      <c r="B7" s="7">
        <v>500.0</v>
      </c>
      <c r="C7" s="10" t="inlineStr">
        <is>
          <t>mm</t>
        </is>
      </c>
      <c r="D7" s="10" t="inlineStr">
        <is>
          <t>Configuration</t>
        </is>
      </c>
    </row>
    <row r="8" ht="19" customHeight="1">
      <c r="A8" s="10" t="inlineStr">
        <is>
          <t>Nominal cover</t>
        </is>
      </c>
      <c r="B8" s="7">
        <v>40.0</v>
      </c>
      <c r="C8" s="10" t="inlineStr">
        <is>
          <t>mm</t>
        </is>
      </c>
      <c r="D8" s="10" t="inlineStr">
        <is>
          <t>Configuration</t>
        </is>
      </c>
    </row>
    <row r="9" ht="19" customHeight="1">
      <c r="A9" s="10" t="inlineStr">
        <is>
          <t>fck</t>
        </is>
      </c>
      <c r="B9" s="7">
        <v>30.0</v>
      </c>
      <c r="C9" s="10" t="inlineStr">
        <is>
          <t>MPa</t>
        </is>
      </c>
      <c r="D9" s="10" t="inlineStr">
        <is>
          <t>Configuration</t>
        </is>
      </c>
    </row>
    <row r="10" ht="19" customHeight="1">
      <c r="A10" s="10" t="inlineStr">
        <is>
          <t>fyd</t>
        </is>
      </c>
      <c r="B10" s="7">
        <v>434.783</v>
      </c>
      <c r="C10" s="10" t="inlineStr">
        <is>
          <t>MPa</t>
        </is>
      </c>
      <c r="D10" s="10" t="inlineStr">
        <is>
          <t>Derived</t>
        </is>
      </c>
    </row>
    <row r="11" ht="19" customHeight="1">
      <c r="A11" s="10" t="inlineStr">
        <is>
          <t>Self weight</t>
        </is>
      </c>
      <c r="B11" s="7">
        <v>3.75</v>
      </c>
      <c r="C11" s="10" t="inlineStr">
        <is>
          <t>kN/m</t>
        </is>
      </c>
      <c r="D11" s="10" t="inlineStr">
        <is>
          <t>Derived</t>
        </is>
      </c>
    </row>
    <row r="12" ht="19" customHeight="1">
      <c r="A12" s="10" t="inlineStr">
        <is>
          <t>Permanent total</t>
        </is>
      </c>
      <c r="B12" s="7">
        <v>3.75</v>
      </c>
      <c r="C12" s="10" t="inlineStr">
        <is>
          <t>kN/m</t>
        </is>
      </c>
      <c r="D12" s="10" t="inlineStr">
        <is>
          <t>Derived</t>
        </is>
      </c>
    </row>
    <row r="13" ht="19" customHeight="1">
      <c r="A13" s="10" t="inlineStr">
        <is>
          <t>Variable UDL</t>
        </is>
      </c>
      <c r="B13" s="7">
        <v>12.0</v>
      </c>
      <c r="C13" s="10" t="inlineStr">
        <is>
          <t>kN/m</t>
        </is>
      </c>
      <c r="D13" s="10" t="inlineStr">
        <is>
          <t>Configuration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LOADS AND COMBINATIONS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Load item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Status</t>
        </is>
      </c>
    </row>
    <row r="5" ht="19" customHeight="1">
      <c r="A5" s="10" t="inlineStr">
        <is>
          <t>ULS distributed load</t>
        </is>
      </c>
      <c r="B5" s="7">
        <v>23.062</v>
      </c>
      <c r="C5" s="10" t="inlineStr">
        <is>
          <t>kN/m</t>
        </is>
      </c>
      <c r="D5" s="10" t="inlineStr">
        <is>
          <t>CALCULATED</t>
        </is>
      </c>
    </row>
    <row r="6" ht="19" customHeight="1">
      <c r="A6" s="10" t="inlineStr">
        <is>
          <t>ULS point-load total</t>
        </is>
      </c>
      <c r="B6" s="7">
        <v>37.5</v>
      </c>
      <c r="C6" s="10" t="inlineStr">
        <is>
          <t>kN</t>
        </is>
      </c>
      <c r="D6" s="10" t="inlineStr">
        <is>
          <t>CALCULATED</t>
        </is>
      </c>
    </row>
    <row r="7" ht="19" customHeight="1">
      <c r="A7" s="10" t="inlineStr">
        <is>
          <t>SLS distributed load</t>
        </is>
      </c>
      <c r="B7" s="7">
        <v>15.75</v>
      </c>
      <c r="C7" s="10" t="inlineStr">
        <is>
          <t>kN/m</t>
        </is>
      </c>
      <c r="D7" s="10" t="inlineStr">
        <is>
          <t>CALCULATED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STRUCTURAL ANALYSIS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Result</t>
        </is>
      </c>
      <c r="B4" s="3" t="inlineStr">
        <is>
          <t>Formula</t>
        </is>
      </c>
      <c r="C4" s="3" t="inlineStr">
        <is>
          <t>Calculated value</t>
        </is>
      </c>
      <c r="D4" s="3" t="inlineStr">
        <is>
          <t>Unit</t>
        </is>
      </c>
    </row>
    <row r="5" ht="19" customHeight="1">
      <c r="A5" s="10" t="inlineStr">
        <is>
          <t>ULS reaction A</t>
        </is>
      </c>
      <c r="B5" s="10" t="inlineStr">
        <is>
          <t>=Loads!B5*Inputs!B5/2+Loads!B6/2</t>
        </is>
      </c>
      <c r="C5" s="7">
        <f>Loads!B5*Inputs!B5/2+Loads!B6/2</f>
        <v>80.156</v>
      </c>
      <c r="D5" s="10" t="inlineStr">
        <is>
          <t>kN</t>
        </is>
      </c>
    </row>
    <row r="6" ht="19" customHeight="1">
      <c r="A6" s="10" t="inlineStr">
        <is>
          <t>ULS reaction B</t>
        </is>
      </c>
      <c r="B6" s="10" t="inlineStr">
        <is>
          <t>=Loads!B5*Inputs!B5/2+Loads!B6/2</t>
        </is>
      </c>
      <c r="C6" s="7">
        <f>Loads!B5*Inputs!B5/2+Loads!B6/2</f>
        <v>72.656</v>
      </c>
      <c r="D6" s="10" t="inlineStr">
        <is>
          <t>kN</t>
        </is>
      </c>
    </row>
    <row r="7" ht="19" customHeight="1">
      <c r="A7" s="10" t="inlineStr">
        <is>
          <t>ULS max moment</t>
        </is>
      </c>
      <c r="B7" s="10" t="inlineStr">
        <is>
          <t>=Loads!B5*Inputs!B5^2/8+Loads!B6*Inputs!B5/4</t>
        </is>
      </c>
      <c r="C7" s="7">
        <f>Loads!B5*Inputs!B5^2/8+Loads!B6*Inputs!B5/4</f>
        <v>114.188</v>
      </c>
      <c r="D7" s="10" t="inlineStr">
        <is>
          <t>kNm</t>
        </is>
      </c>
    </row>
    <row r="8" ht="19" customHeight="1">
      <c r="A8" s="10" t="inlineStr">
        <is>
          <t>ULS max shear</t>
        </is>
      </c>
      <c r="B8" s="10" t="inlineStr">
        <is>
          <t>=Loads!B5*Inputs!B5/2+Loads!B6/2</t>
        </is>
      </c>
      <c r="C8" s="7">
        <f>Loads!B5*Inputs!B5/2+Loads!B6/2</f>
        <v>80.156</v>
      </c>
      <c r="D8" s="10" t="inlineStr">
        <is>
          <t>kN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FLEXURAL DESIGN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Check</t>
        </is>
      </c>
    </row>
    <row r="5" ht="19" customHeight="1">
      <c r="A5" s="10" t="inlineStr">
        <is>
          <t>MEd</t>
        </is>
      </c>
      <c r="B5" s="7">
        <v>114.188</v>
      </c>
      <c r="C5" s="10" t="inlineStr">
        <is>
          <t>kNm</t>
        </is>
      </c>
      <c r="D5" s="10" t="inlineStr">
        <is>
          <t>INPUT</t>
        </is>
      </c>
    </row>
    <row r="6" ht="19" customHeight="1">
      <c r="A6" s="10" t="inlineStr">
        <is>
          <t>As required</t>
        </is>
      </c>
      <c r="B6" s="7">
        <v>629.563</v>
      </c>
      <c r="C6" s="10" t="inlineStr">
        <is>
          <t>mm2</t>
        </is>
      </c>
      <c r="D6" s="10" t="inlineStr">
        <is>
          <t>CALCULATED</t>
        </is>
      </c>
    </row>
    <row r="7" ht="19" customHeight="1">
      <c r="A7" s="10" t="inlineStr">
        <is>
          <t>As minimum</t>
        </is>
      </c>
      <c r="B7" s="7">
        <v>200.866</v>
      </c>
      <c r="C7" s="10" t="inlineStr">
        <is>
          <t>mm2</t>
        </is>
      </c>
      <c r="D7" s="10" t="inlineStr">
        <is>
          <t>CALCULATED</t>
        </is>
      </c>
    </row>
    <row r="8" ht="19" customHeight="1">
      <c r="A8" s="10" t="inlineStr">
        <is>
          <t>As provided</t>
        </is>
      </c>
      <c r="B8" s="7">
        <v>678.584</v>
      </c>
      <c r="C8" s="10" t="inlineStr">
        <is>
          <t>mm2</t>
        </is>
      </c>
      <c r="D8" s="10" t="inlineStr">
        <is>
          <t>6T12 bottom (As=679 mm2; clear=26 mm)</t>
        </is>
      </c>
    </row>
    <row r="9" ht="19" customHeight="1">
      <c r="A9" s="10" t="inlineStr">
        <is>
          <t>MRd</t>
        </is>
      </c>
      <c r="B9" s="7">
        <v>123.709</v>
      </c>
      <c r="C9" s="10" t="inlineStr">
        <is>
          <t>kNm</t>
        </is>
      </c>
      <c r="D9" s="10" t="inlineStr">
        <is>
          <t>PASS</t>
        </is>
      </c>
    </row>
    <row r="10" ht="19" customHeight="1">
      <c r="A10" s="10" t="inlineStr">
        <is>
          <t>Utilization</t>
        </is>
      </c>
      <c r="B10" s="7">
        <v>0.923</v>
      </c>
      <c r="C10" s="10" t="inlineStr">
        <is>
          <t>ratio</t>
        </is>
      </c>
      <c r="D10" s="10" t="inlineStr">
        <is>
          <t>&lt;= 1.00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SHEAR DESIGN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Check</t>
        </is>
      </c>
    </row>
    <row r="5" ht="19" customHeight="1">
      <c r="A5" s="10" t="inlineStr">
        <is>
          <t>VEd</t>
        </is>
      </c>
      <c r="B5" s="7">
        <v>80.156</v>
      </c>
      <c r="C5" s="10" t="inlineStr">
        <is>
          <t>kN</t>
        </is>
      </c>
      <c r="D5" s="10" t="inlineStr">
        <is>
          <t>INPUT</t>
        </is>
      </c>
    </row>
    <row r="6" ht="19" customHeight="1">
      <c r="A6" s="10" t="inlineStr">
        <is>
          <t>VRdc</t>
        </is>
      </c>
      <c r="B6" s="7">
        <v>66.428</v>
      </c>
      <c r="C6" s="10" t="inlineStr">
        <is>
          <t>kN</t>
        </is>
      </c>
      <c r="D6" s="10" t="inlineStr">
        <is>
          <t>CALCULATED</t>
        </is>
      </c>
    </row>
    <row r="7" ht="19" customHeight="1">
      <c r="A7" s="10" t="inlineStr">
        <is>
          <t>VRd provided</t>
        </is>
      </c>
      <c r="B7" s="7">
        <v>87.331</v>
      </c>
      <c r="C7" s="10" t="inlineStr">
        <is>
          <t>kN</t>
        </is>
      </c>
      <c r="D7" s="10" t="inlineStr">
        <is>
          <t>2-leg T8 stirrups @ 200 mm</t>
        </is>
      </c>
    </row>
    <row r="8" ht="19" customHeight="1">
      <c r="A8" s="10" t="inlineStr">
        <is>
          <t>Utilization</t>
        </is>
      </c>
      <c r="B8" s="7">
        <v>0.918</v>
      </c>
      <c r="C8" s="10" t="inlineStr">
        <is>
          <t>ratio</t>
        </is>
      </c>
      <c r="D8" s="10" t="inlineStr">
        <is>
          <t>&lt;= 1.00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SERVICEABILITY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Check</t>
        </is>
      </c>
    </row>
    <row r="5" ht="19" customHeight="1">
      <c r="A5" s="10" t="inlineStr">
        <is>
          <t>Deflection</t>
        </is>
      </c>
      <c r="B5" s="7">
        <v>6.746</v>
      </c>
      <c r="C5" s="10" t="inlineStr">
        <is>
          <t>mm</t>
        </is>
      </c>
      <c r="D5" s="10" t="inlineStr">
        <is>
          <t>limit 20.0 mm</t>
        </is>
      </c>
    </row>
    <row r="6" ht="19" customHeight="1">
      <c r="A6" s="10" t="inlineStr">
        <is>
          <t>Deflection utilization</t>
        </is>
      </c>
      <c r="B6" s="7">
        <v>0.337</v>
      </c>
      <c r="C6" s="10" t="inlineStr">
        <is>
          <t>ratio</t>
        </is>
      </c>
      <c r="D6" s="10" t="inlineStr">
        <is>
          <t>&lt;= 1.00</t>
        </is>
      </c>
    </row>
    <row r="7" ht="19" customHeight="1">
      <c r="A7" s="10" t="inlineStr">
        <is>
          <t>Crack width</t>
        </is>
      </c>
      <c r="B7" s="7">
        <v>0.093</v>
      </c>
      <c r="C7" s="10" t="inlineStr">
        <is>
          <t>mm</t>
        </is>
      </c>
      <c r="D7" s="10" t="inlineStr">
        <is>
          <t>limit 0.3 mm</t>
        </is>
      </c>
    </row>
    <row r="8" ht="19" customHeight="1">
      <c r="A8" s="10" t="inlineStr">
        <is>
          <t>Crack utilization</t>
        </is>
      </c>
      <c r="B8" s="7">
        <v>0.31</v>
      </c>
      <c r="C8" s="10" t="inlineStr">
        <is>
          <t>ratio</t>
        </is>
      </c>
      <c r="D8" s="10" t="inlineStr">
        <is>
          <t>&lt;= 1.00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DETAILING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Item</t>
        </is>
      </c>
      <c r="B4" s="3" t="inlineStr">
        <is>
          <t>Selection</t>
        </is>
      </c>
      <c r="C4" s="3" t="inlineStr">
        <is>
          <t>Value</t>
        </is>
      </c>
      <c r="D4" s="3" t="inlineStr">
        <is>
          <t>Unit</t>
        </is>
      </c>
    </row>
    <row r="5" ht="19" customHeight="1">
      <c r="A5" s="10" t="inlineStr">
        <is>
          <t>Bottom reinforcement</t>
        </is>
      </c>
      <c r="B5" s="10" t="inlineStr">
        <is>
          <t>6T12 bottom (As=679 mm2; clear=26 mm)</t>
        </is>
      </c>
      <c r="C5" s="7">
        <v>678.584</v>
      </c>
      <c r="D5" s="10" t="inlineStr">
        <is>
          <t>mm2</t>
        </is>
      </c>
    </row>
    <row r="6" ht="19" customHeight="1">
      <c r="A6" s="10" t="inlineStr">
        <is>
          <t>Top hanger</t>
        </is>
      </c>
      <c r="B6" s="10" t="inlineStr">
        <is>
          <t>2T12 continuous</t>
        </is>
      </c>
      <c r="C6" s="10" t="inlineStr">
        <is>
          <t/>
        </is>
      </c>
      <c r="D6" s="10" t="inlineStr">
        <is>
          <t/>
        </is>
      </c>
    </row>
    <row r="7" ht="19" customHeight="1">
      <c r="A7" s="10" t="inlineStr">
        <is>
          <t>Stirrups</t>
        </is>
      </c>
      <c r="B7" s="10" t="inlineStr">
        <is>
          <t>2-leg T8 stirrups @ 200 mm</t>
        </is>
      </c>
      <c r="C7" s="7">
        <v>0.5027</v>
      </c>
      <c r="D7" s="10" t="inlineStr">
        <is>
          <t>mm2/mm</t>
        </is>
      </c>
    </row>
    <row r="8" ht="19" customHeight="1">
      <c r="A8" s="10" t="inlineStr">
        <is>
          <t>Anchorage length</t>
        </is>
      </c>
      <c r="B8" s="10" t="inlineStr">
        <is>
          <t>lb,design</t>
        </is>
      </c>
      <c r="C8" s="7">
        <v>395.0</v>
      </c>
      <c r="D8" s="10" t="inlineStr">
        <is>
          <t>mm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9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ULS STATION RESULTS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x</t>
        </is>
      </c>
      <c r="B4" s="3" t="inlineStr">
        <is>
          <t>Shear</t>
        </is>
      </c>
      <c r="C4" s="3" t="inlineStr">
        <is>
          <t>Moment</t>
        </is>
      </c>
      <c r="D4" s="3" t="inlineStr">
        <is>
          <t>Combination</t>
        </is>
      </c>
    </row>
    <row r="5" ht="19" customHeight="1">
      <c r="A5" s="7">
        <v>0.0</v>
      </c>
      <c r="B5" s="7">
        <v>80.15625</v>
      </c>
      <c r="C5" s="7">
        <v>0.0</v>
      </c>
      <c r="D5" s="10" t="inlineStr">
        <is>
          <t>ULS_STR</t>
        </is>
      </c>
    </row>
    <row r="6" ht="19" customHeight="1">
      <c r="A6" s="7">
        <v>0.05</v>
      </c>
      <c r="B6" s="7">
        <v>79.003125</v>
      </c>
      <c r="C6" s="7">
        <v>3.978984</v>
      </c>
      <c r="D6" s="10" t="inlineStr">
        <is>
          <t>ULS_STR</t>
        </is>
      </c>
    </row>
    <row r="7" ht="19" customHeight="1">
      <c r="A7" s="7">
        <v>0.1</v>
      </c>
      <c r="B7" s="7">
        <v>77.85</v>
      </c>
      <c r="C7" s="7">
        <v>7.900313</v>
      </c>
      <c r="D7" s="10" t="inlineStr">
        <is>
          <t>ULS_STR</t>
        </is>
      </c>
    </row>
    <row r="8" ht="19" customHeight="1">
      <c r="A8" s="7">
        <v>0.15</v>
      </c>
      <c r="B8" s="7">
        <v>76.696875</v>
      </c>
      <c r="C8" s="7">
        <v>11.763984</v>
      </c>
      <c r="D8" s="10" t="inlineStr">
        <is>
          <t>ULS_STR</t>
        </is>
      </c>
    </row>
    <row r="9" ht="19" customHeight="1">
      <c r="A9" s="7">
        <v>0.2</v>
      </c>
      <c r="B9" s="7">
        <v>75.54375</v>
      </c>
      <c r="C9" s="7">
        <v>15.57</v>
      </c>
      <c r="D9" s="10" t="inlineStr">
        <is>
          <t>ULS_STR</t>
        </is>
      </c>
    </row>
    <row r="10" ht="19" customHeight="1">
      <c r="A10" s="7">
        <v>0.25</v>
      </c>
      <c r="B10" s="7">
        <v>74.390625</v>
      </c>
      <c r="C10" s="7">
        <v>19.318359</v>
      </c>
      <c r="D10" s="10" t="inlineStr">
        <is>
          <t>ULS_STR</t>
        </is>
      </c>
    </row>
    <row r="11" ht="19" customHeight="1">
      <c r="A11" s="7">
        <v>0.3</v>
      </c>
      <c r="B11" s="7">
        <v>73.2375</v>
      </c>
      <c r="C11" s="7">
        <v>23.009062</v>
      </c>
      <c r="D11" s="10" t="inlineStr">
        <is>
          <t>ULS_STR</t>
        </is>
      </c>
    </row>
    <row r="12" ht="19" customHeight="1">
      <c r="A12" s="7">
        <v>0.35</v>
      </c>
      <c r="B12" s="7">
        <v>72.084375</v>
      </c>
      <c r="C12" s="7">
        <v>26.642109</v>
      </c>
      <c r="D12" s="10" t="inlineStr">
        <is>
          <t>ULS_STR</t>
        </is>
      </c>
    </row>
    <row r="13" ht="19" customHeight="1">
      <c r="A13" s="7">
        <v>0.4</v>
      </c>
      <c r="B13" s="7">
        <v>70.93125</v>
      </c>
      <c r="C13" s="7">
        <v>30.2175</v>
      </c>
      <c r="D13" s="10" t="inlineStr">
        <is>
          <t>ULS_STR</t>
        </is>
      </c>
    </row>
    <row r="14" ht="19" customHeight="1">
      <c r="A14" s="7">
        <v>0.45</v>
      </c>
      <c r="B14" s="7">
        <v>69.778125</v>
      </c>
      <c r="C14" s="7">
        <v>33.735234</v>
      </c>
      <c r="D14" s="10" t="inlineStr">
        <is>
          <t>ULS_STR</t>
        </is>
      </c>
    </row>
    <row r="15" ht="19" customHeight="1">
      <c r="A15" s="7">
        <v>0.5</v>
      </c>
      <c r="B15" s="7">
        <v>68.625</v>
      </c>
      <c r="C15" s="7">
        <v>37.195312</v>
      </c>
      <c r="D15" s="10" t="inlineStr">
        <is>
          <t>ULS_STR</t>
        </is>
      </c>
    </row>
    <row r="16" ht="19" customHeight="1">
      <c r="A16" s="7">
        <v>0.55</v>
      </c>
      <c r="B16" s="7">
        <v>67.471875</v>
      </c>
      <c r="C16" s="7">
        <v>40.597734</v>
      </c>
      <c r="D16" s="10" t="inlineStr">
        <is>
          <t>ULS_STR</t>
        </is>
      </c>
    </row>
    <row r="17" ht="19" customHeight="1">
      <c r="A17" s="7">
        <v>0.6</v>
      </c>
      <c r="B17" s="7">
        <v>66.31875</v>
      </c>
      <c r="C17" s="7">
        <v>43.9425</v>
      </c>
      <c r="D17" s="10" t="inlineStr">
        <is>
          <t>ULS_STR</t>
        </is>
      </c>
    </row>
    <row r="18" ht="19" customHeight="1">
      <c r="A18" s="7">
        <v>0.65</v>
      </c>
      <c r="B18" s="7">
        <v>65.165625</v>
      </c>
      <c r="C18" s="7">
        <v>47.229609</v>
      </c>
      <c r="D18" s="10" t="inlineStr">
        <is>
          <t>ULS_STR</t>
        </is>
      </c>
    </row>
    <row r="19" ht="19" customHeight="1">
      <c r="A19" s="7">
        <v>0.7</v>
      </c>
      <c r="B19" s="7">
        <v>64.0125</v>
      </c>
      <c r="C19" s="7">
        <v>50.459062</v>
      </c>
      <c r="D19" s="10" t="inlineStr">
        <is>
          <t>ULS_STR</t>
        </is>
      </c>
    </row>
    <row r="20" ht="19" customHeight="1">
      <c r="A20" s="7">
        <v>0.75</v>
      </c>
      <c r="B20" s="7">
        <v>62.859375</v>
      </c>
      <c r="C20" s="7">
        <v>53.630859</v>
      </c>
      <c r="D20" s="10" t="inlineStr">
        <is>
          <t>ULS_STR</t>
        </is>
      </c>
    </row>
    <row r="21" ht="19" customHeight="1">
      <c r="A21" s="7">
        <v>0.8</v>
      </c>
      <c r="B21" s="7">
        <v>61.70625</v>
      </c>
      <c r="C21" s="7">
        <v>56.745</v>
      </c>
      <c r="D21" s="10" t="inlineStr">
        <is>
          <t>ULS_STR</t>
        </is>
      </c>
    </row>
    <row r="22" ht="19" customHeight="1">
      <c r="A22" s="7">
        <v>0.85</v>
      </c>
      <c r="B22" s="7">
        <v>60.553125</v>
      </c>
      <c r="C22" s="7">
        <v>59.801484</v>
      </c>
      <c r="D22" s="10" t="inlineStr">
        <is>
          <t>ULS_STR</t>
        </is>
      </c>
    </row>
    <row r="23" ht="19" customHeight="1">
      <c r="A23" s="7">
        <v>0.9</v>
      </c>
      <c r="B23" s="7">
        <v>59.4</v>
      </c>
      <c r="C23" s="7">
        <v>62.800312</v>
      </c>
      <c r="D23" s="10" t="inlineStr">
        <is>
          <t>ULS_STR</t>
        </is>
      </c>
    </row>
    <row r="24" ht="19" customHeight="1">
      <c r="A24" s="7">
        <v>0.95</v>
      </c>
      <c r="B24" s="7">
        <v>58.246875</v>
      </c>
      <c r="C24" s="7">
        <v>65.741484</v>
      </c>
      <c r="D24" s="10" t="inlineStr">
        <is>
          <t>ULS_STR</t>
        </is>
      </c>
    </row>
    <row r="25" ht="19" customHeight="1">
      <c r="A25" s="7">
        <v>1.0</v>
      </c>
      <c r="B25" s="7">
        <v>57.09375</v>
      </c>
      <c r="C25" s="7">
        <v>68.625</v>
      </c>
      <c r="D25" s="10" t="inlineStr">
        <is>
          <t>ULS_STR</t>
        </is>
      </c>
    </row>
    <row r="26" ht="19" customHeight="1">
      <c r="A26" s="7">
        <v>1.05</v>
      </c>
      <c r="B26" s="7">
        <v>55.940625</v>
      </c>
      <c r="C26" s="7">
        <v>71.450859</v>
      </c>
      <c r="D26" s="10" t="inlineStr">
        <is>
          <t>ULS_STR</t>
        </is>
      </c>
    </row>
    <row r="27" ht="19" customHeight="1">
      <c r="A27" s="7">
        <v>1.1</v>
      </c>
      <c r="B27" s="7">
        <v>54.7875</v>
      </c>
      <c r="C27" s="7">
        <v>74.219063</v>
      </c>
      <c r="D27" s="10" t="inlineStr">
        <is>
          <t>ULS_STR</t>
        </is>
      </c>
    </row>
    <row r="28" ht="19" customHeight="1">
      <c r="A28" s="7">
        <v>1.15</v>
      </c>
      <c r="B28" s="7">
        <v>53.634375</v>
      </c>
      <c r="C28" s="7">
        <v>76.929609</v>
      </c>
      <c r="D28" s="10" t="inlineStr">
        <is>
          <t>ULS_STR</t>
        </is>
      </c>
    </row>
    <row r="29" ht="19" customHeight="1">
      <c r="A29" s="7">
        <v>1.2</v>
      </c>
      <c r="B29" s="7">
        <v>52.48125</v>
      </c>
      <c r="C29" s="7">
        <v>79.5825</v>
      </c>
      <c r="D29" s="10" t="inlineStr">
        <is>
          <t>ULS_STR</t>
        </is>
      </c>
    </row>
    <row r="30" ht="19" customHeight="1">
      <c r="A30" s="7">
        <v>1.25</v>
      </c>
      <c r="B30" s="7">
        <v>51.328125</v>
      </c>
      <c r="C30" s="7">
        <v>82.177734</v>
      </c>
      <c r="D30" s="10" t="inlineStr">
        <is>
          <t>ULS_STR</t>
        </is>
      </c>
    </row>
    <row r="31" ht="19" customHeight="1">
      <c r="A31" s="7">
        <v>1.3</v>
      </c>
      <c r="B31" s="7">
        <v>50.175</v>
      </c>
      <c r="C31" s="7">
        <v>84.715312</v>
      </c>
      <c r="D31" s="10" t="inlineStr">
        <is>
          <t>ULS_STR</t>
        </is>
      </c>
    </row>
    <row r="32" ht="19" customHeight="1">
      <c r="A32" s="7">
        <v>1.35</v>
      </c>
      <c r="B32" s="7">
        <v>49.021875</v>
      </c>
      <c r="C32" s="7">
        <v>87.195234</v>
      </c>
      <c r="D32" s="10" t="inlineStr">
        <is>
          <t>ULS_STR</t>
        </is>
      </c>
    </row>
    <row r="33" ht="19" customHeight="1">
      <c r="A33" s="7">
        <v>1.4</v>
      </c>
      <c r="B33" s="7">
        <v>47.86875</v>
      </c>
      <c r="C33" s="7">
        <v>89.6175</v>
      </c>
      <c r="D33" s="10" t="inlineStr">
        <is>
          <t>ULS_STR</t>
        </is>
      </c>
    </row>
    <row r="34" ht="19" customHeight="1">
      <c r="A34" s="7">
        <v>1.45</v>
      </c>
      <c r="B34" s="7">
        <v>46.715625</v>
      </c>
      <c r="C34" s="7">
        <v>91.982109</v>
      </c>
      <c r="D34" s="10" t="inlineStr">
        <is>
          <t>ULS_STR</t>
        </is>
      </c>
    </row>
    <row r="35" ht="19" customHeight="1">
      <c r="A35" s="7">
        <v>1.5</v>
      </c>
      <c r="B35" s="7">
        <v>45.5625</v>
      </c>
      <c r="C35" s="7">
        <v>94.289062</v>
      </c>
      <c r="D35" s="10" t="inlineStr">
        <is>
          <t>ULS_STR</t>
        </is>
      </c>
    </row>
    <row r="36" ht="19" customHeight="1">
      <c r="A36" s="7">
        <v>1.55</v>
      </c>
      <c r="B36" s="7">
        <v>44.409375</v>
      </c>
      <c r="C36" s="7">
        <v>96.538359</v>
      </c>
      <c r="D36" s="10" t="inlineStr">
        <is>
          <t>ULS_STR</t>
        </is>
      </c>
    </row>
    <row r="37" ht="19" customHeight="1">
      <c r="A37" s="7">
        <v>1.6</v>
      </c>
      <c r="B37" s="7">
        <v>43.25625</v>
      </c>
      <c r="C37" s="7">
        <v>98.73</v>
      </c>
      <c r="D37" s="10" t="inlineStr">
        <is>
          <t>ULS_STR</t>
        </is>
      </c>
    </row>
    <row r="38" ht="19" customHeight="1">
      <c r="A38" s="7">
        <v>1.65</v>
      </c>
      <c r="B38" s="7">
        <v>42.103125</v>
      </c>
      <c r="C38" s="7">
        <v>100.863984</v>
      </c>
      <c r="D38" s="10" t="inlineStr">
        <is>
          <t>ULS_STR</t>
        </is>
      </c>
    </row>
    <row r="39" ht="19" customHeight="1">
      <c r="A39" s="7">
        <v>1.7</v>
      </c>
      <c r="B39" s="7">
        <v>40.95</v>
      </c>
      <c r="C39" s="7">
        <v>102.940313</v>
      </c>
      <c r="D39" s="10" t="inlineStr">
        <is>
          <t>ULS_STR</t>
        </is>
      </c>
    </row>
    <row r="40" ht="19" customHeight="1">
      <c r="A40" s="7">
        <v>1.75</v>
      </c>
      <c r="B40" s="7">
        <v>39.796875</v>
      </c>
      <c r="C40" s="7">
        <v>104.958984</v>
      </c>
      <c r="D40" s="10" t="inlineStr">
        <is>
          <t>ULS_STR</t>
        </is>
      </c>
    </row>
    <row r="41" ht="19" customHeight="1">
      <c r="A41" s="7">
        <v>1.8</v>
      </c>
      <c r="B41" s="7">
        <v>38.64375</v>
      </c>
      <c r="C41" s="7">
        <v>106.92</v>
      </c>
      <c r="D41" s="10" t="inlineStr">
        <is>
          <t>ULS_STR</t>
        </is>
      </c>
    </row>
    <row r="42" ht="19" customHeight="1">
      <c r="A42" s="7">
        <v>1.85</v>
      </c>
      <c r="B42" s="7">
        <v>37.490625</v>
      </c>
      <c r="C42" s="7">
        <v>108.823359</v>
      </c>
      <c r="D42" s="10" t="inlineStr">
        <is>
          <t>ULS_STR</t>
        </is>
      </c>
    </row>
    <row r="43" ht="19" customHeight="1">
      <c r="A43" s="7">
        <v>1.9</v>
      </c>
      <c r="B43" s="7">
        <v>36.3375</v>
      </c>
      <c r="C43" s="7">
        <v>110.669062</v>
      </c>
      <c r="D43" s="10" t="inlineStr">
        <is>
          <t>ULS_STR</t>
        </is>
      </c>
    </row>
    <row r="44" ht="19" customHeight="1">
      <c r="A44" s="7">
        <v>1.95</v>
      </c>
      <c r="B44" s="7">
        <v>35.184375</v>
      </c>
      <c r="C44" s="7">
        <v>112.457109</v>
      </c>
      <c r="D44" s="10" t="inlineStr">
        <is>
          <t>ULS_STR</t>
        </is>
      </c>
    </row>
    <row r="45" ht="19" customHeight="1">
      <c r="A45" s="7">
        <v>1.999999</v>
      </c>
      <c r="B45" s="7">
        <v>34.031273</v>
      </c>
      <c r="C45" s="7">
        <v>114.187466</v>
      </c>
      <c r="D45" s="10" t="inlineStr">
        <is>
          <t>ULS_STR</t>
        </is>
      </c>
    </row>
    <row r="46" ht="19" customHeight="1">
      <c r="A46" s="7">
        <v>2.0</v>
      </c>
      <c r="B46" s="7">
        <v>-3.46875</v>
      </c>
      <c r="C46" s="7">
        <v>114.1875</v>
      </c>
      <c r="D46" s="10" t="inlineStr">
        <is>
          <t>ULS_STR</t>
        </is>
      </c>
    </row>
    <row r="47" ht="19" customHeight="1">
      <c r="A47" s="7">
        <v>2.000001</v>
      </c>
      <c r="B47" s="7">
        <v>-3.468773</v>
      </c>
      <c r="C47" s="7">
        <v>114.187497</v>
      </c>
      <c r="D47" s="10" t="inlineStr">
        <is>
          <t>ULS_STR</t>
        </is>
      </c>
    </row>
    <row r="48" ht="19" customHeight="1">
      <c r="A48" s="7">
        <v>2.05</v>
      </c>
      <c r="B48" s="7">
        <v>-4.621875</v>
      </c>
      <c r="C48" s="7">
        <v>113.985234</v>
      </c>
      <c r="D48" s="10" t="inlineStr">
        <is>
          <t>ULS_STR</t>
        </is>
      </c>
    </row>
    <row r="49" ht="19" customHeight="1">
      <c r="A49" s="7">
        <v>2.1</v>
      </c>
      <c r="B49" s="7">
        <v>-5.775</v>
      </c>
      <c r="C49" s="7">
        <v>113.725313</v>
      </c>
      <c r="D49" s="10" t="inlineStr">
        <is>
          <t>ULS_STR</t>
        </is>
      </c>
    </row>
    <row r="50" ht="19" customHeight="1">
      <c r="A50" s="7">
        <v>2.15</v>
      </c>
      <c r="B50" s="7">
        <v>-6.928125</v>
      </c>
      <c r="C50" s="7">
        <v>113.407734</v>
      </c>
      <c r="D50" s="10" t="inlineStr">
        <is>
          <t>ULS_STR</t>
        </is>
      </c>
    </row>
    <row r="51" ht="19" customHeight="1">
      <c r="A51" s="7">
        <v>2.2</v>
      </c>
      <c r="B51" s="7">
        <v>-8.08125</v>
      </c>
      <c r="C51" s="7">
        <v>113.0325</v>
      </c>
      <c r="D51" s="10" t="inlineStr">
        <is>
          <t>ULS_STR</t>
        </is>
      </c>
    </row>
    <row r="52" ht="19" customHeight="1">
      <c r="A52" s="7">
        <v>2.25</v>
      </c>
      <c r="B52" s="7">
        <v>-9.234375</v>
      </c>
      <c r="C52" s="7">
        <v>112.599609</v>
      </c>
      <c r="D52" s="10" t="inlineStr">
        <is>
          <t>ULS_STR</t>
        </is>
      </c>
    </row>
    <row r="53" ht="19" customHeight="1">
      <c r="A53" s="7">
        <v>2.3</v>
      </c>
      <c r="B53" s="7">
        <v>-10.3875</v>
      </c>
      <c r="C53" s="7">
        <v>112.109062</v>
      </c>
      <c r="D53" s="10" t="inlineStr">
        <is>
          <t>ULS_STR</t>
        </is>
      </c>
    </row>
    <row r="54" ht="19" customHeight="1">
      <c r="A54" s="7">
        <v>2.35</v>
      </c>
      <c r="B54" s="7">
        <v>-11.540625</v>
      </c>
      <c r="C54" s="7">
        <v>111.560859</v>
      </c>
      <c r="D54" s="10" t="inlineStr">
        <is>
          <t>ULS_STR</t>
        </is>
      </c>
    </row>
    <row r="55" ht="19" customHeight="1">
      <c r="A55" s="7">
        <v>2.4</v>
      </c>
      <c r="B55" s="7">
        <v>-12.69375</v>
      </c>
      <c r="C55" s="7">
        <v>110.955</v>
      </c>
      <c r="D55" s="10" t="inlineStr">
        <is>
          <t>ULS_STR</t>
        </is>
      </c>
    </row>
    <row r="56" ht="19" customHeight="1">
      <c r="A56" s="7">
        <v>2.45</v>
      </c>
      <c r="B56" s="7">
        <v>-13.846875</v>
      </c>
      <c r="C56" s="7">
        <v>110.291484</v>
      </c>
      <c r="D56" s="10" t="inlineStr">
        <is>
          <t>ULS_STR</t>
        </is>
      </c>
    </row>
    <row r="57" ht="19" customHeight="1">
      <c r="A57" s="7">
        <v>2.5</v>
      </c>
      <c r="B57" s="7">
        <v>-15.0</v>
      </c>
      <c r="C57" s="7">
        <v>109.570312</v>
      </c>
      <c r="D57" s="10" t="inlineStr">
        <is>
          <t>ULS_STR</t>
        </is>
      </c>
    </row>
    <row r="58" ht="19" customHeight="1">
      <c r="A58" s="7">
        <v>2.55</v>
      </c>
      <c r="B58" s="7">
        <v>-16.153125</v>
      </c>
      <c r="C58" s="7">
        <v>108.791484</v>
      </c>
      <c r="D58" s="10" t="inlineStr">
        <is>
          <t>ULS_STR</t>
        </is>
      </c>
    </row>
    <row r="59" ht="19" customHeight="1">
      <c r="A59" s="7">
        <v>2.6</v>
      </c>
      <c r="B59" s="7">
        <v>-17.30625</v>
      </c>
      <c r="C59" s="7">
        <v>107.955</v>
      </c>
      <c r="D59" s="10" t="inlineStr">
        <is>
          <t>ULS_STR</t>
        </is>
      </c>
    </row>
    <row r="60" ht="19" customHeight="1">
      <c r="A60" s="7">
        <v>2.65</v>
      </c>
      <c r="B60" s="7">
        <v>-18.459375</v>
      </c>
      <c r="C60" s="7">
        <v>107.060859</v>
      </c>
      <c r="D60" s="10" t="inlineStr">
        <is>
          <t>ULS_STR</t>
        </is>
      </c>
    </row>
    <row r="61" ht="19" customHeight="1">
      <c r="A61" s="7">
        <v>2.7</v>
      </c>
      <c r="B61" s="7">
        <v>-19.6125</v>
      </c>
      <c r="C61" s="7">
        <v>106.109063</v>
      </c>
      <c r="D61" s="10" t="inlineStr">
        <is>
          <t>ULS_STR</t>
        </is>
      </c>
    </row>
    <row r="62" ht="19" customHeight="1">
      <c r="A62" s="7">
        <v>2.75</v>
      </c>
      <c r="B62" s="7">
        <v>-20.765625</v>
      </c>
      <c r="C62" s="7">
        <v>105.099609</v>
      </c>
      <c r="D62" s="10" t="inlineStr">
        <is>
          <t>ULS_STR</t>
        </is>
      </c>
    </row>
    <row r="63" ht="19" customHeight="1">
      <c r="A63" s="7">
        <v>2.8</v>
      </c>
      <c r="B63" s="7">
        <v>-21.91875</v>
      </c>
      <c r="C63" s="7">
        <v>104.0325</v>
      </c>
      <c r="D63" s="10" t="inlineStr">
        <is>
          <t>ULS_STR</t>
        </is>
      </c>
    </row>
    <row r="64" ht="19" customHeight="1">
      <c r="A64" s="7">
        <v>2.85</v>
      </c>
      <c r="B64" s="7">
        <v>-23.071875</v>
      </c>
      <c r="C64" s="7">
        <v>102.907734</v>
      </c>
      <c r="D64" s="10" t="inlineStr">
        <is>
          <t>ULS_STR</t>
        </is>
      </c>
    </row>
    <row r="65" ht="19" customHeight="1">
      <c r="A65" s="7">
        <v>2.9</v>
      </c>
      <c r="B65" s="7">
        <v>-24.225</v>
      </c>
      <c r="C65" s="7">
        <v>101.725313</v>
      </c>
      <c r="D65" s="10" t="inlineStr">
        <is>
          <t>ULS_STR</t>
        </is>
      </c>
    </row>
    <row r="66" ht="19" customHeight="1">
      <c r="A66" s="7">
        <v>2.95</v>
      </c>
      <c r="B66" s="7">
        <v>-25.378125</v>
      </c>
      <c r="C66" s="7">
        <v>100.485234</v>
      </c>
      <c r="D66" s="10" t="inlineStr">
        <is>
          <t>ULS_STR</t>
        </is>
      </c>
    </row>
    <row r="67" ht="19" customHeight="1">
      <c r="A67" s="7">
        <v>3.0</v>
      </c>
      <c r="B67" s="7">
        <v>-26.53125</v>
      </c>
      <c r="C67" s="7">
        <v>99.1875</v>
      </c>
      <c r="D67" s="10" t="inlineStr">
        <is>
          <t>ULS_STR</t>
        </is>
      </c>
    </row>
    <row r="68" ht="19" customHeight="1">
      <c r="A68" s="7">
        <v>3.05</v>
      </c>
      <c r="B68" s="7">
        <v>-27.684375</v>
      </c>
      <c r="C68" s="7">
        <v>97.832109</v>
      </c>
      <c r="D68" s="10" t="inlineStr">
        <is>
          <t>ULS_STR</t>
        </is>
      </c>
    </row>
    <row r="69" ht="19" customHeight="1">
      <c r="A69" s="7">
        <v>3.1</v>
      </c>
      <c r="B69" s="7">
        <v>-28.8375</v>
      </c>
      <c r="C69" s="7">
        <v>96.419062</v>
      </c>
      <c r="D69" s="10" t="inlineStr">
        <is>
          <t>ULS_STR</t>
        </is>
      </c>
    </row>
    <row r="70" ht="19" customHeight="1">
      <c r="A70" s="7">
        <v>3.15</v>
      </c>
      <c r="B70" s="7">
        <v>-29.990625</v>
      </c>
      <c r="C70" s="7">
        <v>94.948359</v>
      </c>
      <c r="D70" s="10" t="inlineStr">
        <is>
          <t>ULS_STR</t>
        </is>
      </c>
    </row>
    <row r="71" ht="19" customHeight="1">
      <c r="A71" s="7">
        <v>3.2</v>
      </c>
      <c r="B71" s="7">
        <v>-31.14375</v>
      </c>
      <c r="C71" s="7">
        <v>93.42</v>
      </c>
      <c r="D71" s="10" t="inlineStr">
        <is>
          <t>ULS_STR</t>
        </is>
      </c>
    </row>
    <row r="72" ht="19" customHeight="1">
      <c r="A72" s="7">
        <v>3.25</v>
      </c>
      <c r="B72" s="7">
        <v>-32.296875</v>
      </c>
      <c r="C72" s="7">
        <v>91.833984</v>
      </c>
      <c r="D72" s="10" t="inlineStr">
        <is>
          <t>ULS_STR</t>
        </is>
      </c>
    </row>
    <row r="73" ht="19" customHeight="1">
      <c r="A73" s="7">
        <v>3.3</v>
      </c>
      <c r="B73" s="7">
        <v>-33.45</v>
      </c>
      <c r="C73" s="7">
        <v>90.190313</v>
      </c>
      <c r="D73" s="10" t="inlineStr">
        <is>
          <t>ULS_STR</t>
        </is>
      </c>
    </row>
    <row r="74" ht="19" customHeight="1">
      <c r="A74" s="7">
        <v>3.35</v>
      </c>
      <c r="B74" s="7">
        <v>-34.603125</v>
      </c>
      <c r="C74" s="7">
        <v>88.488984</v>
      </c>
      <c r="D74" s="10" t="inlineStr">
        <is>
          <t>ULS_STR</t>
        </is>
      </c>
    </row>
    <row r="75" ht="19" customHeight="1">
      <c r="A75" s="7">
        <v>3.4</v>
      </c>
      <c r="B75" s="7">
        <v>-35.75625</v>
      </c>
      <c r="C75" s="7">
        <v>86.73</v>
      </c>
      <c r="D75" s="10" t="inlineStr">
        <is>
          <t>ULS_STR</t>
        </is>
      </c>
    </row>
    <row r="76" ht="19" customHeight="1">
      <c r="A76" s="7">
        <v>3.45</v>
      </c>
      <c r="B76" s="7">
        <v>-36.909375</v>
      </c>
      <c r="C76" s="7">
        <v>84.913359</v>
      </c>
      <c r="D76" s="10" t="inlineStr">
        <is>
          <t>ULS_STR</t>
        </is>
      </c>
    </row>
    <row r="77" ht="19" customHeight="1">
      <c r="A77" s="7">
        <v>3.5</v>
      </c>
      <c r="B77" s="7">
        <v>-38.0625</v>
      </c>
      <c r="C77" s="7">
        <v>83.039062</v>
      </c>
      <c r="D77" s="10" t="inlineStr">
        <is>
          <t>ULS_STR</t>
        </is>
      </c>
    </row>
    <row r="78" ht="19" customHeight="1">
      <c r="A78" s="7">
        <v>3.55</v>
      </c>
      <c r="B78" s="7">
        <v>-39.215625</v>
      </c>
      <c r="C78" s="7">
        <v>81.107109</v>
      </c>
      <c r="D78" s="10" t="inlineStr">
        <is>
          <t>ULS_STR</t>
        </is>
      </c>
    </row>
    <row r="79" ht="19" customHeight="1">
      <c r="A79" s="7">
        <v>3.6</v>
      </c>
      <c r="B79" s="7">
        <v>-40.36875</v>
      </c>
      <c r="C79" s="7">
        <v>79.1175</v>
      </c>
      <c r="D79" s="10" t="inlineStr">
        <is>
          <t>ULS_STR</t>
        </is>
      </c>
    </row>
    <row r="80" ht="19" customHeight="1">
      <c r="A80" s="7">
        <v>3.65</v>
      </c>
      <c r="B80" s="7">
        <v>-41.521875</v>
      </c>
      <c r="C80" s="7">
        <v>77.070234</v>
      </c>
      <c r="D80" s="10" t="inlineStr">
        <is>
          <t>ULS_STR</t>
        </is>
      </c>
    </row>
    <row r="81" ht="19" customHeight="1">
      <c r="A81" s="7">
        <v>3.7</v>
      </c>
      <c r="B81" s="7">
        <v>-42.675</v>
      </c>
      <c r="C81" s="7">
        <v>74.965312</v>
      </c>
      <c r="D81" s="10" t="inlineStr">
        <is>
          <t>ULS_STR</t>
        </is>
      </c>
    </row>
    <row r="82" ht="19" customHeight="1">
      <c r="A82" s="7">
        <v>3.75</v>
      </c>
      <c r="B82" s="7">
        <v>-43.828125</v>
      </c>
      <c r="C82" s="7">
        <v>72.802734</v>
      </c>
      <c r="D82" s="10" t="inlineStr">
        <is>
          <t>ULS_STR</t>
        </is>
      </c>
    </row>
    <row r="83" ht="19" customHeight="1">
      <c r="A83" s="7">
        <v>3.8</v>
      </c>
      <c r="B83" s="7">
        <v>-44.98125</v>
      </c>
      <c r="C83" s="7">
        <v>70.5825</v>
      </c>
      <c r="D83" s="10" t="inlineStr">
        <is>
          <t>ULS_STR</t>
        </is>
      </c>
    </row>
    <row r="84" ht="19" customHeight="1">
      <c r="A84" s="7">
        <v>3.85</v>
      </c>
      <c r="B84" s="7">
        <v>-46.134375</v>
      </c>
      <c r="C84" s="7">
        <v>68.304609</v>
      </c>
      <c r="D84" s="10" t="inlineStr">
        <is>
          <t>ULS_STR</t>
        </is>
      </c>
    </row>
    <row r="85" ht="19" customHeight="1">
      <c r="A85" s="7">
        <v>3.9</v>
      </c>
      <c r="B85" s="7">
        <v>-47.2875</v>
      </c>
      <c r="C85" s="7">
        <v>65.969063</v>
      </c>
      <c r="D85" s="10" t="inlineStr">
        <is>
          <t>ULS_STR</t>
        </is>
      </c>
    </row>
    <row r="86" ht="19" customHeight="1">
      <c r="A86" s="7">
        <v>3.95</v>
      </c>
      <c r="B86" s="7">
        <v>-48.440625</v>
      </c>
      <c r="C86" s="7">
        <v>63.575859</v>
      </c>
      <c r="D86" s="10" t="inlineStr">
        <is>
          <t>ULS_STR</t>
        </is>
      </c>
    </row>
    <row r="87" ht="19" customHeight="1">
      <c r="A87" s="7">
        <v>4.0</v>
      </c>
      <c r="B87" s="7">
        <v>-49.59375</v>
      </c>
      <c r="C87" s="7">
        <v>61.125</v>
      </c>
      <c r="D87" s="10" t="inlineStr">
        <is>
          <t>ULS_STR</t>
        </is>
      </c>
    </row>
    <row r="88" ht="19" customHeight="1">
      <c r="A88" s="7">
        <v>4.05</v>
      </c>
      <c r="B88" s="7">
        <v>-50.746875</v>
      </c>
      <c r="C88" s="7">
        <v>58.616484</v>
      </c>
      <c r="D88" s="10" t="inlineStr">
        <is>
          <t>ULS_STR</t>
        </is>
      </c>
    </row>
    <row r="89" ht="19" customHeight="1">
      <c r="A89" s="7">
        <v>4.1</v>
      </c>
      <c r="B89" s="7">
        <v>-51.9</v>
      </c>
      <c r="C89" s="7">
        <v>56.050312</v>
      </c>
      <c r="D89" s="10" t="inlineStr">
        <is>
          <t>ULS_STR</t>
        </is>
      </c>
    </row>
    <row r="90" ht="19" customHeight="1">
      <c r="A90" s="7">
        <v>4.15</v>
      </c>
      <c r="B90" s="7">
        <v>-53.053125</v>
      </c>
      <c r="C90" s="7">
        <v>53.426484</v>
      </c>
      <c r="D90" s="10" t="inlineStr">
        <is>
          <t>ULS_STR</t>
        </is>
      </c>
    </row>
    <row r="91" ht="19" customHeight="1">
      <c r="A91" s="7">
        <v>4.2</v>
      </c>
      <c r="B91" s="7">
        <v>-54.20625</v>
      </c>
      <c r="C91" s="7">
        <v>50.745</v>
      </c>
      <c r="D91" s="10" t="inlineStr">
        <is>
          <t>ULS_STR</t>
        </is>
      </c>
    </row>
    <row r="92" ht="19" customHeight="1">
      <c r="A92" s="7">
        <v>4.25</v>
      </c>
      <c r="B92" s="7">
        <v>-55.359375</v>
      </c>
      <c r="C92" s="7">
        <v>48.005859</v>
      </c>
      <c r="D92" s="10" t="inlineStr">
        <is>
          <t>ULS_STR</t>
        </is>
      </c>
    </row>
    <row r="93" ht="19" customHeight="1">
      <c r="A93" s="7">
        <v>4.3</v>
      </c>
      <c r="B93" s="7">
        <v>-56.5125</v>
      </c>
      <c r="C93" s="7">
        <v>45.209063</v>
      </c>
      <c r="D93" s="10" t="inlineStr">
        <is>
          <t>ULS_STR</t>
        </is>
      </c>
    </row>
    <row r="94" ht="19" customHeight="1">
      <c r="A94" s="7">
        <v>4.35</v>
      </c>
      <c r="B94" s="7">
        <v>-57.665625</v>
      </c>
      <c r="C94" s="7">
        <v>42.354609</v>
      </c>
      <c r="D94" s="10" t="inlineStr">
        <is>
          <t>ULS_STR</t>
        </is>
      </c>
    </row>
    <row r="95" ht="19" customHeight="1">
      <c r="A95" s="7">
        <v>4.4</v>
      </c>
      <c r="B95" s="7">
        <v>-58.81875</v>
      </c>
      <c r="C95" s="7">
        <v>39.4425</v>
      </c>
      <c r="D95" s="10" t="inlineStr">
        <is>
          <t>ULS_STR</t>
        </is>
      </c>
    </row>
    <row r="96" ht="19" customHeight="1">
      <c r="A96" s="7">
        <v>4.45</v>
      </c>
      <c r="B96" s="7">
        <v>-59.971875</v>
      </c>
      <c r="C96" s="7">
        <v>36.472734</v>
      </c>
      <c r="D96" s="10" t="inlineStr">
        <is>
          <t>ULS_STR</t>
        </is>
      </c>
    </row>
    <row r="97" ht="19" customHeight="1">
      <c r="A97" s="7">
        <v>4.5</v>
      </c>
      <c r="B97" s="7">
        <v>-61.125</v>
      </c>
      <c r="C97" s="7">
        <v>33.445312</v>
      </c>
      <c r="D97" s="10" t="inlineStr">
        <is>
          <t>ULS_STR</t>
        </is>
      </c>
    </row>
    <row r="98" ht="19" customHeight="1">
      <c r="A98" s="7">
        <v>4.55</v>
      </c>
      <c r="B98" s="7">
        <v>-62.278125</v>
      </c>
      <c r="C98" s="7">
        <v>30.360234</v>
      </c>
      <c r="D98" s="10" t="inlineStr">
        <is>
          <t>ULS_STR</t>
        </is>
      </c>
    </row>
    <row r="99" ht="19" customHeight="1">
      <c r="A99" s="7">
        <v>4.6</v>
      </c>
      <c r="B99" s="7">
        <v>-63.43125</v>
      </c>
      <c r="C99" s="7">
        <v>27.2175</v>
      </c>
      <c r="D99" s="10" t="inlineStr">
        <is>
          <t>ULS_STR</t>
        </is>
      </c>
    </row>
    <row r="100" ht="19" customHeight="1">
      <c r="A100" s="7">
        <v>4.65</v>
      </c>
      <c r="B100" s="7">
        <v>-64.584375</v>
      </c>
      <c r="C100" s="7">
        <v>24.017109</v>
      </c>
      <c r="D100" s="10" t="inlineStr">
        <is>
          <t>ULS_STR</t>
        </is>
      </c>
    </row>
    <row r="101" ht="19" customHeight="1">
      <c r="A101" s="7">
        <v>4.7</v>
      </c>
      <c r="B101" s="7">
        <v>-65.7375</v>
      </c>
      <c r="C101" s="7">
        <v>20.759062</v>
      </c>
      <c r="D101" s="10" t="inlineStr">
        <is>
          <t>ULS_STR</t>
        </is>
      </c>
    </row>
    <row r="102" ht="19" customHeight="1">
      <c r="A102" s="7">
        <v>4.75</v>
      </c>
      <c r="B102" s="7">
        <v>-66.890625</v>
      </c>
      <c r="C102" s="7">
        <v>17.443359</v>
      </c>
      <c r="D102" s="10" t="inlineStr">
        <is>
          <t>ULS_STR</t>
        </is>
      </c>
    </row>
    <row r="103" ht="19" customHeight="1">
      <c r="A103" s="7">
        <v>4.8</v>
      </c>
      <c r="B103" s="7">
        <v>-68.04375</v>
      </c>
      <c r="C103" s="7">
        <v>14.07</v>
      </c>
      <c r="D103" s="10" t="inlineStr">
        <is>
          <t>ULS_STR</t>
        </is>
      </c>
    </row>
    <row r="104" ht="19" customHeight="1">
      <c r="A104" s="7">
        <v>4.85</v>
      </c>
      <c r="B104" s="7">
        <v>-69.196875</v>
      </c>
      <c r="C104" s="7">
        <v>10.638984</v>
      </c>
      <c r="D104" s="10" t="inlineStr">
        <is>
          <t>ULS_STR</t>
        </is>
      </c>
    </row>
    <row r="105" ht="19" customHeight="1">
      <c r="A105" s="7">
        <v>4.9</v>
      </c>
      <c r="B105" s="7">
        <v>-70.35</v>
      </c>
      <c r="C105" s="7">
        <v>7.150312</v>
      </c>
      <c r="D105" s="10" t="inlineStr">
        <is>
          <t>ULS_STR</t>
        </is>
      </c>
    </row>
    <row r="106" ht="19" customHeight="1">
      <c r="A106" s="7">
        <v>4.95</v>
      </c>
      <c r="B106" s="7">
        <v>-71.503125</v>
      </c>
      <c r="C106" s="7">
        <v>3.603984</v>
      </c>
      <c r="D106" s="10" t="inlineStr">
        <is>
          <t>ULS_STR</t>
        </is>
      </c>
    </row>
    <row r="107" ht="19" customHeight="1">
      <c r="A107" s="7">
        <v>5.0</v>
      </c>
      <c r="B107" s="7">
        <v>-72.65625</v>
      </c>
      <c r="C107" s="7">
        <v>0.0</v>
      </c>
      <c r="D107" s="10" t="inlineStr">
        <is>
          <t>ULS_STR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10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  <col min="3" max="3" width="18" customWidth="1"/>
    <col min="4" max="4" width="48" customWidth="1"/>
  </cols>
  <sheetData>
    <row r="1" ht="28" customHeight="1">
      <c r="A1" s="1" t="inlineStr">
        <is>
          <t>DESIGN CHECKS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Check ID</t>
        </is>
      </c>
      <c r="B4" s="3" t="inlineStr">
        <is>
          <t>Topic</t>
        </is>
      </c>
      <c r="C4" s="3" t="inlineStr">
        <is>
          <t>Passed</t>
        </is>
      </c>
      <c r="D4" s="3" t="inlineStr">
        <is>
          <t>Evidence</t>
        </is>
      </c>
    </row>
    <row r="5" ht="19" customHeight="1">
      <c r="A5" s="10" t="inlineStr">
        <is>
          <t>CHK-001</t>
        </is>
      </c>
      <c r="B5" s="10" t="inlineStr">
        <is>
          <t>Statics</t>
        </is>
      </c>
      <c r="C5" s="8" t="b">
        <v>1</v>
      </c>
      <c r="D5" s="10" t="inlineStr">
        <is>
          <t>Reactions equal total ULS load.</t>
        </is>
      </c>
    </row>
    <row r="6" ht="19" customHeight="1">
      <c r="A6" s="10" t="inlineStr">
        <is>
          <t>CHK-002</t>
        </is>
      </c>
      <c r="B6" s="10" t="inlineStr">
        <is>
          <t>Flexure resistance</t>
        </is>
      </c>
      <c r="C6" s="8" t="b">
        <v>1</v>
      </c>
      <c r="D6" s="10" t="inlineStr">
        <is>
          <t>MEd/MRd = 0.923</t>
        </is>
      </c>
    </row>
    <row r="7" ht="19" customHeight="1">
      <c r="A7" s="10" t="inlineStr">
        <is>
          <t>CHK-003</t>
        </is>
      </c>
      <c r="B7" s="10" t="inlineStr">
        <is>
          <t>Neutral axis</t>
        </is>
      </c>
      <c r="C7" s="8" t="b">
        <v>1</v>
      </c>
      <c r="D7" s="10" t="inlineStr">
        <is>
          <t>x/(xlim*d) = 0.333</t>
        </is>
      </c>
    </row>
    <row r="8" ht="19" customHeight="1">
      <c r="A8" s="10" t="inlineStr">
        <is>
          <t>CHK-004</t>
        </is>
      </c>
      <c r="B8" s="10" t="inlineStr">
        <is>
          <t>Minimum reinforcement</t>
        </is>
      </c>
      <c r="C8" s="8" t="b">
        <v>1</v>
      </c>
      <c r="D8" s="10" t="inlineStr">
        <is>
          <t>As,prov = 678.6 mm2; As,min = 200.9 mm2</t>
        </is>
      </c>
    </row>
    <row r="9" ht="19" customHeight="1">
      <c r="A9" s="10" t="inlineStr">
        <is>
          <t>CHK-005</t>
        </is>
      </c>
      <c r="B9" s="10" t="inlineStr">
        <is>
          <t>Maximum reinforcement</t>
        </is>
      </c>
      <c r="C9" s="8" t="b">
        <v>1</v>
      </c>
      <c r="D9" s="10" t="inlineStr">
        <is>
          <t>As,prov = 678.6 mm2; As,max = 6000.0 mm2</t>
        </is>
      </c>
    </row>
    <row r="10" ht="19" customHeight="1">
      <c r="A10" s="10" t="inlineStr">
        <is>
          <t>CHK-006</t>
        </is>
      </c>
      <c r="B10" s="10" t="inlineStr">
        <is>
          <t>Bar fit</t>
        </is>
      </c>
      <c r="C10" s="8" t="b">
        <v>1</v>
      </c>
      <c r="D10" s="10" t="inlineStr">
        <is>
          <t>6T12 bottom (As=679 mm2; clear=26 mm)</t>
        </is>
      </c>
    </row>
    <row r="11" ht="19" customHeight="1">
      <c r="A11" s="10" t="inlineStr">
        <is>
          <t>CHK-007</t>
        </is>
      </c>
      <c r="B11" s="10" t="inlineStr">
        <is>
          <t>Shear resistance</t>
        </is>
      </c>
      <c r="C11" s="8" t="b">
        <v>1</v>
      </c>
      <c r="D11" s="10" t="inlineStr">
        <is>
          <t>VEd/VRd = 0.918</t>
        </is>
      </c>
    </row>
    <row r="12" ht="19" customHeight="1">
      <c r="A12" s="10" t="inlineStr">
        <is>
          <t>CHK-008</t>
        </is>
      </c>
      <c r="B12" s="10" t="inlineStr">
        <is>
          <t>Shear compression strut</t>
        </is>
      </c>
      <c r="C12" s="8" t="b">
        <v>1</v>
      </c>
      <c r="D12" s="10" t="inlineStr">
        <is>
          <t>VEd = 80.2 kN; VRd,max = 538.0 kN</t>
        </is>
      </c>
    </row>
    <row r="13" ht="19" customHeight="1">
      <c r="A13" s="10" t="inlineStr">
        <is>
          <t>CHK-009</t>
        </is>
      </c>
      <c r="B13" s="10" t="inlineStr">
        <is>
          <t>Deflection</t>
        </is>
      </c>
      <c r="C13" s="8" t="b">
        <v>1</v>
      </c>
      <c r="D13" s="10" t="inlineStr">
        <is>
          <t>delta = 6.75 mm; limit = 20.00 mm</t>
        </is>
      </c>
    </row>
    <row r="14" ht="19" customHeight="1">
      <c r="A14" s="10" t="inlineStr">
        <is>
          <t>CHK-010</t>
        </is>
      </c>
      <c r="B14" s="10" t="inlineStr">
        <is>
          <t>Crack width</t>
        </is>
      </c>
      <c r="C14" s="8" t="b">
        <v>1</v>
      </c>
      <c r="D14" s="10" t="inlineStr">
        <is>
          <t>wk = 0.093 mm; limit = 0.300 mm</t>
        </is>
      </c>
    </row>
    <row r="15" ht="19" customHeight="1">
      <c r="A15" s="10" t="inlineStr">
        <is>
          <t>CHK-011</t>
        </is>
      </c>
      <c r="B15" s="10" t="inlineStr">
        <is>
          <t>Anchorage fit</t>
        </is>
      </c>
      <c r="C15" s="8" t="b">
        <v>1</v>
      </c>
      <c r="D15" s="10" t="inlineStr">
        <is>
          <t>lb,design = 395 mm; available = 850 mm</t>
        </is>
      </c>
    </row>
    <row r="16" ht="19" customHeight="1">
      <c r="A16" s="10" t="inlineStr">
        <is>
          <t>CHK-012</t>
        </is>
      </c>
      <c r="B16" s="10" t="inlineStr">
        <is>
          <t>Support bearing</t>
        </is>
      </c>
      <c r="C16" s="8" t="b">
        <v>1</v>
      </c>
      <c r="D16" s="10" t="inlineStr">
        <is>
          <t>bearing utilization = 0.087</t>
        </is>
      </c>
    </row>
    <row r="17" ht="19" customHeight="1">
      <c r="A17" s="10" t="inlineStr">
        <is>
          <t>CHK-013</t>
        </is>
      </c>
      <c r="B17" s="10" t="inlineStr">
        <is>
          <t>Deep-section review gate</t>
        </is>
      </c>
      <c r="C17" s="8" t="b">
        <v>1</v>
      </c>
      <c r="D17" s="10" t="inlineStr">
        <is>
          <t>h = 500 mm; mandatory review threshold = 700 mm</t>
        </is>
      </c>
    </row>
    <row r="18" ht="19" customHeight="1">
      <c r="A18" s="10" t="inlineStr">
        <is>
          <t>CHK-014</t>
        </is>
      </c>
      <c r="B18" s="10" t="inlineStr">
        <is>
          <t>Fire design boundary</t>
        </is>
      </c>
      <c r="C18" s="8" t="b">
        <v>1</v>
      </c>
      <c r="D18" s="10" t="inlineStr">
        <is>
          <t>Fire design is excluded and must be completed separately.</t>
        </is>
      </c>
    </row>
    <row r="19" ht="19" customHeight="1">
      <c r="A19" s="10" t="inlineStr">
        <is>
          <t>CHK-015</t>
        </is>
      </c>
      <c r="B19" s="10" t="inlineStr">
        <is>
          <t>Professional review gate</t>
        </is>
      </c>
      <c r="C19" s="8" t="b">
        <v>1</v>
      </c>
      <c r="D19" s="10" t="inlineStr">
        <is>
          <t>All outputs remain preliminary until signed by a competent structural engineer.</t>
        </is>
      </c>
    </row>
    <row r="20" ht="19" customHeight="1">
      <c r="A20" s="10" t="inlineStr">
        <is>
          <t>CHK-016</t>
        </is>
      </c>
      <c r="B20" s="10" t="inlineStr">
        <is>
          <t>Standard profile declared</t>
        </is>
      </c>
      <c r="C20" s="8" t="b">
        <v>1</v>
      </c>
      <c r="D20" s="10" t="inlineStr">
        <is>
          <t>SUR_STRUCTURAL_PRELIMINARY_2026__PROJECT-SPECIFIED EC2 PRELIMINARY BASIS FOR DEMONSTRATION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1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4" customWidth="1"/>
    <col min="2" max="2" width="32" customWidth="1"/>
  </cols>
  <sheetData>
    <row r="1" ht="28" customHeight="1">
      <c r="A1" s="1" t="inlineStr">
        <is>
          <t>LIMITATIONS</t>
        </is>
      </c>
    </row>
    <row r="2" ht="24" customHeight="1">
      <c r="A2" s="2" t="inlineStr">
        <is>
          <t>PRELIMINARY STRUCTURAL DESIGN - ENGINEER REVIEW REQUIRED</t>
        </is>
      </c>
    </row>
    <row r="3" ht="19" customHeight="1"/>
    <row r="4" ht="24" customHeight="1">
      <c r="A4" s="3" t="inlineStr">
        <is>
          <t>ID</t>
        </is>
      </c>
      <c r="B4" s="3" t="inlineStr">
        <is>
          <t>Limitation</t>
        </is>
      </c>
    </row>
    <row r="5" ht="19" customHeight="1">
      <c r="A5" s="7">
        <v>1</v>
      </c>
      <c r="B5" s="10" t="inlineStr">
        <is>
          <t>This is a preliminary design engine and not a signed structural calculation.</t>
        </is>
      </c>
    </row>
    <row r="6" ht="19" customHeight="1">
      <c r="A6" s="7">
        <v>2</v>
      </c>
      <c r="B6" s="10" t="inlineStr">
        <is>
          <t>The selected standard profile and National Annex parameters must be confirmed for the project.</t>
        </is>
      </c>
    </row>
    <row r="7" ht="19" customHeight="1">
      <c r="A7" s="7">
        <v>3</v>
      </c>
      <c r="B7" s="10" t="inlineStr">
        <is>
          <t>Fire resistance, robustness, seismic design, fatigue and accidental actions are outside this v1.0.0 scope.</t>
        </is>
      </c>
    </row>
    <row r="8" ht="19" customHeight="1">
      <c r="A8" s="7">
        <v>4</v>
      </c>
      <c r="B8" s="10" t="inlineStr">
        <is>
          <t>Construction tolerances, bar curtailment, laps, couplers, support-zone detailing and actual load paths require engineer review.</t>
        </is>
      </c>
    </row>
    <row r="9" ht="19" customHeight="1">
      <c r="A9" s="7">
        <v>5</v>
      </c>
      <c r="B9" s="10" t="inlineStr">
        <is>
          <t>The 2025 Dutch National Annex introduced shear-related changes; deep sections trigger a mandatory review gate.</t>
        </is>
      </c>
    </row>
  </sheetData>
  <mergeCells count="2">
    <mergeCell ref="A1:B1"/>
    <mergeCell ref="A2:B2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Project Phoenix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Inputs</vt:lpstr>
      <vt:lpstr>Loads</vt:lpstr>
      <vt:lpstr>Analysis</vt:lpstr>
      <vt:lpstr>Flexure</vt:lpstr>
      <vt:lpstr>Shear</vt:lpstr>
      <vt:lpstr>Serviceability</vt:lpstr>
      <vt:lpstr>Detailing</vt:lpstr>
      <vt:lpstr>Stations</vt:lpstr>
      <vt:lpstr>QA</vt:lpstr>
      <vt:lpstr>Limitations</vt:lpstr>
    </vt:vector>
  </TitlesOfParts>
  <Company>A. Brewster Architects.sr</Compan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Phoenix Reinforced Concrete Beam Design</dc:title>
  <dc:creator>Project Phoenix</dc:creator>
  <cp:lastModifiedBy>Project Phoenix</cp:lastModifiedBy>
  <dcterms:created xsi:type="dcterms:W3CDTF">2026-07-28T00:00:00Z</dcterms:created>
  <dcterms:modified xsi:type="dcterms:W3CDTF">2026-07-28T00:00:00Z</dcterms:modified>
</cp:coreProperties>
</file>