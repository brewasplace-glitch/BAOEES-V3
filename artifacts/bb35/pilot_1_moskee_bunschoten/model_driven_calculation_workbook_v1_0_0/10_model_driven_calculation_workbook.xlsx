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Dashboard" sheetId="1" r:id="rId1"/>
    <sheet name="Inputs" sheetId="2" r:id="rId2"/>
    <sheet name="Area_Volume" sheetId="3" r:id="rId3"/>
    <sheet name="Structural_Loads" sheetId="4" r:id="rId4"/>
    <sheet name="Load_Path" sheetId="5" r:id="rId5"/>
    <sheet name="Foundation" sheetId="6" r:id="rId6"/>
    <sheet name="Egress" sheetId="7" r:id="rId7"/>
    <sheet name="Ventilation" sheetId="8" r:id="rId8"/>
    <sheet name="Parking" sheetId="9" r:id="rId9"/>
    <sheet name="Construction" sheetId="10" r:id="rId10"/>
    <sheet name="Traceability" sheetId="11" r:id="rId11"/>
    <sheet name="QA" sheetId="12" r:id="rId12"/>
    <sheet name="Limitations" sheetId="13" r:id="rId13"/>
  </sheets>
  <calcPr calcId="191029" calcMode="auto" fullCalcOnLoad="1" forceFullCalc="1"/>
</workbook>
</file>

<file path=xl/styles.xml><?xml version="1.0" encoding="utf-8"?>
<styleSheet xmlns="http://schemas.openxmlformats.org/spreadsheetml/2006/main">
  <fonts count="5">
    <font>
      <sz val="10"/>
      <name val="Aptos"/>
    </font>
    <font>
      <b/>
      <color rgb="FFFFFFFF"/>
      <sz val="16"/>
      <name val="Aptos Display"/>
    </font>
    <font>
      <b/>
      <color rgb="FF0F172A"/>
      <sz val="11"/>
      <name val="Aptos"/>
    </font>
    <font>
      <b/>
      <color rgb="FFFFFFFF"/>
      <sz val="10"/>
      <name val="Aptos"/>
    </font>
    <font>
      <color rgb="FF334155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D4ED8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/>
    <xf numFmtId="0" fontId="4" fillId="0" borderId="1" xfId="0" applyFont="1" applyBorder="1" applyAlignment="1">
      <alignment vertical="top" wrapText="1"/>
    </xf>
    <xf numFmtId="2" fontId="4" fillId="0" borderId="1" xfId="0" applyNumberFormat="1" applyFont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</cols>
  <sheetData>
    <row r="1" ht="28" customHeight="1">
      <c r="A1" s="1" t="inlineStr">
        <is>
          <t>PROJECT PHOENIX — MODEL-DRIVEN CALCULATION WORKBOOK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Source</t>
        </is>
      </c>
    </row>
    <row r="5" ht="18" customHeight="1">
      <c r="A5" s="10" t="inlineStr">
        <is>
          <t>Model ID</t>
        </is>
      </c>
      <c r="B5" s="10" t="inlineStr">
        <is>
          <t>HBM-GEO-2026-001</t>
        </is>
      </c>
      <c r="C5" s="10" t="inlineStr">
        <is>
          <t>LINKED</t>
        </is>
      </c>
      <c r="D5" s="10" t="inlineStr">
        <is>
          <t>Central geometric model</t>
        </is>
      </c>
    </row>
    <row r="6" ht="18" customHeight="1">
      <c r="A6" s="10" t="inlineStr">
        <is>
          <t>Model fingerprint</t>
        </is>
      </c>
      <c r="B6" s="10" t="inlineStr">
        <is>
          <t>61c1c56f500192557d603552561dd408cfed09fe704247b26f18343d24f1af0a</t>
        </is>
      </c>
      <c r="C6" s="10" t="inlineStr">
        <is>
          <t>MATCHED</t>
        </is>
      </c>
      <c r="D6" s="10" t="inlineStr">
        <is>
          <t>Central model v1.0.0</t>
        </is>
      </c>
    </row>
    <row r="7" ht="18" customHeight="1">
      <c r="A7" s="10" t="inlineStr">
        <is>
          <t>Calculation records</t>
        </is>
      </c>
      <c r="B7" s="7">
        <v>32</v>
      </c>
      <c r="C7" s="10" t="inlineStr">
        <is>
          <t>GENERATED</t>
        </is>
      </c>
      <c r="D7" s="10" t="inlineStr">
        <is>
          <t>Calculation engine v1.0.0</t>
        </is>
      </c>
    </row>
    <row r="8" ht="18" customHeight="1">
      <c r="A8" s="10" t="inlineStr">
        <is>
          <t>Calculation categories</t>
        </is>
      </c>
      <c r="B8" s="7">
        <v>8</v>
      </c>
      <c r="C8" s="10" t="inlineStr">
        <is>
          <t>GENERATED</t>
        </is>
      </c>
      <c r="D8" s="10" t="inlineStr">
        <is>
          <t>Calculation engine v1.0.0</t>
        </is>
      </c>
    </row>
    <row r="9" ht="18" customHeight="1">
      <c r="A9" s="10" t="inlineStr">
        <is>
          <t>Quality checks passed</t>
        </is>
      </c>
      <c r="B9" s="7">
        <v>18</v>
      </c>
      <c r="C9" s="10" t="inlineStr">
        <is>
          <t>PASS</t>
        </is>
      </c>
      <c r="D9" s="10" t="inlineStr">
        <is>
          <t>of 18</t>
        </is>
      </c>
    </row>
    <row r="10" ht="18" customHeight="1">
      <c r="A10" s="10" t="inlineStr">
        <is>
          <t>Traceability links</t>
        </is>
      </c>
      <c r="B10" s="7">
        <v>85</v>
      </c>
      <c r="C10" s="10" t="inlineStr">
        <is>
          <t>GENERATED</t>
        </is>
      </c>
      <c r="D10" s="10" t="inlineStr">
        <is>
          <t>Model/drawing/report/REQ</t>
        </is>
      </c>
    </row>
    <row r="11" ht="18" customHeight="1">
      <c r="A11" s="10" t="inlineStr">
        <is>
          <t>Parking basis</t>
        </is>
      </c>
      <c r="B11" s="7">
        <v>225</v>
      </c>
      <c r="C11" s="10" t="inlineStr">
        <is>
          <t>PROJECT LEADER CONFIRMED</t>
        </is>
      </c>
      <c r="D11" s="10" t="inlineStr">
        <is>
          <t>REQ-106</t>
        </is>
      </c>
    </row>
    <row r="12" ht="18" customHeight="1">
      <c r="A12" s="10" t="inlineStr">
        <is>
          <t>Professional blockers</t>
        </is>
      </c>
      <c r="B12" s="7">
        <v>6</v>
      </c>
      <c r="C12" s="10" t="inlineStr">
        <is>
          <t>OPEN</t>
        </is>
      </c>
      <c r="D12" s="10" t="inlineStr">
        <is>
          <t>REQ-102/103/104/105/106/108</t>
        </is>
      </c>
    </row>
    <row r="13" ht="18" customHeight="1">
      <c r="A13" s="10" t="inlineStr">
        <is>
          <t>Permit-ready issue</t>
        </is>
      </c>
      <c r="B13" s="10" t="inlineStr">
        <is>
          <t>NO</t>
        </is>
      </c>
      <c r="C13" s="10" t="inlineStr">
        <is>
          <t>BLOCKED</t>
        </is>
      </c>
      <c r="D13" s="10" t="inlineStr">
        <is>
          <t>Professional evidence required</t>
        </is>
      </c>
    </row>
    <row r="14" ht="18" customHeight="1">
      <c r="A14" s="10" t="inlineStr">
        <is>
          <t>BB36 production release</t>
        </is>
      </c>
      <c r="B14" s="10" t="inlineStr">
        <is>
          <t>NO</t>
        </is>
      </c>
      <c r="C14" s="10" t="inlineStr">
        <is>
          <t>LOCKED</t>
        </is>
      </c>
      <c r="D14" s="10" t="inlineStr">
        <is>
          <t>BB35 evidence gate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</cols>
  <sheetData>
    <row r="1" ht="28" customHeight="1">
      <c r="A1" s="1" t="inlineStr">
        <is>
          <t>MODEL AND ASSUMPTION INPUTS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Input ID</t>
        </is>
      </c>
      <c r="B4" s="3" t="inlineStr">
        <is>
          <t>Category</t>
        </is>
      </c>
      <c r="C4" s="3" t="inlineStr">
        <is>
          <t>Name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Source</t>
        </is>
      </c>
      <c r="G4" s="3" t="inlineStr">
        <is>
          <t>Reference</t>
        </is>
      </c>
      <c r="H4" s="3" t="inlineStr">
        <is>
          <t>Status</t>
        </is>
      </c>
    </row>
    <row r="5" ht="18" customHeight="1">
      <c r="A5" s="10" t="inlineStr">
        <is>
          <t>IN-001</t>
        </is>
      </c>
      <c r="B5" s="10" t="inlineStr">
        <is>
          <t>model</t>
        </is>
      </c>
      <c r="C5" s="10" t="inlineStr">
        <is>
          <t>extension_width</t>
        </is>
      </c>
      <c r="D5" s="7">
        <v>7.0</v>
      </c>
      <c r="E5" s="10" t="inlineStr">
        <is>
          <t>m</t>
        </is>
      </c>
      <c r="F5" s="10" t="inlineStr">
        <is>
          <t>central_model</t>
        </is>
      </c>
      <c r="G5" s="10" t="inlineStr">
        <is>
          <t>BLD-EXTENSION</t>
        </is>
      </c>
      <c r="H5" s="10" t="inlineStr">
        <is>
          <t>SIMULATION_ONLY</t>
        </is>
      </c>
    </row>
    <row r="6" ht="18" customHeight="1">
      <c r="A6" s="10" t="inlineStr">
        <is>
          <t>IN-002</t>
        </is>
      </c>
      <c r="B6" s="10" t="inlineStr">
        <is>
          <t>model</t>
        </is>
      </c>
      <c r="C6" s="10" t="inlineStr">
        <is>
          <t>extension_length</t>
        </is>
      </c>
      <c r="D6" s="7">
        <v>10.0</v>
      </c>
      <c r="E6" s="10" t="inlineStr">
        <is>
          <t>m</t>
        </is>
      </c>
      <c r="F6" s="10" t="inlineStr">
        <is>
          <t>central_model</t>
        </is>
      </c>
      <c r="G6" s="10" t="inlineStr">
        <is>
          <t>BLD-EXTENSION</t>
        </is>
      </c>
      <c r="H6" s="10" t="inlineStr">
        <is>
          <t>SIMULATION_ONLY</t>
        </is>
      </c>
    </row>
    <row r="7" ht="18" customHeight="1">
      <c r="A7" s="10" t="inlineStr">
        <is>
          <t>IN-003</t>
        </is>
      </c>
      <c r="B7" s="10" t="inlineStr">
        <is>
          <t>model</t>
        </is>
      </c>
      <c r="C7" s="10" t="inlineStr">
        <is>
          <t>extension_storeys</t>
        </is>
      </c>
      <c r="D7" s="7">
        <v>2</v>
      </c>
      <c r="E7" s="10" t="inlineStr">
        <is>
          <t>count</t>
        </is>
      </c>
      <c r="F7" s="10" t="inlineStr">
        <is>
          <t>central_model</t>
        </is>
      </c>
      <c r="G7" s="10" t="inlineStr">
        <is>
          <t>BLD-EXTENSION</t>
        </is>
      </c>
      <c r="H7" s="10" t="inlineStr">
        <is>
          <t>SIMULATION_ONLY</t>
        </is>
      </c>
    </row>
    <row r="8" ht="18" customHeight="1">
      <c r="A8" s="10" t="inlineStr">
        <is>
          <t>IN-004</t>
        </is>
      </c>
      <c r="B8" s="10" t="inlineStr">
        <is>
          <t>model</t>
        </is>
      </c>
      <c r="C8" s="10" t="inlineStr">
        <is>
          <t>storey_height</t>
        </is>
      </c>
      <c r="D8" s="7">
        <v>3.2</v>
      </c>
      <c r="E8" s="10" t="inlineStr">
        <is>
          <t>m</t>
        </is>
      </c>
      <c r="F8" s="10" t="inlineStr">
        <is>
          <t>central_model</t>
        </is>
      </c>
      <c r="G8" s="10" t="inlineStr">
        <is>
          <t>L00,L01</t>
        </is>
      </c>
      <c r="H8" s="10" t="inlineStr">
        <is>
          <t>SIMULATION_ONLY</t>
        </is>
      </c>
    </row>
    <row r="9" ht="18" customHeight="1">
      <c r="A9" s="10" t="inlineStr">
        <is>
          <t>IN-005</t>
        </is>
      </c>
      <c r="B9" s="10" t="inlineStr">
        <is>
          <t>assumption</t>
        </is>
      </c>
      <c r="C9" s="10" t="inlineStr">
        <is>
          <t>floor_area_load</t>
        </is>
      </c>
      <c r="D9" s="7">
        <v>7.0</v>
      </c>
      <c r="E9" s="10" t="inlineStr">
        <is>
          <t>kN/m2</t>
        </is>
      </c>
      <c r="F9" s="10" t="inlineStr">
        <is>
          <t>synthetic_test_fixture</t>
        </is>
      </c>
      <c r="G9" s="10" t="inlineStr">
        <is>
          <t>REQ-103</t>
        </is>
      </c>
      <c r="H9" s="10" t="inlineStr">
        <is>
          <t>SIMULATION_ONLY</t>
        </is>
      </c>
    </row>
    <row r="10" ht="18" customHeight="1">
      <c r="A10" s="10" t="inlineStr">
        <is>
          <t>IN-006</t>
        </is>
      </c>
      <c r="B10" s="10" t="inlineStr">
        <is>
          <t>assumption</t>
        </is>
      </c>
      <c r="C10" s="10" t="inlineStr">
        <is>
          <t>roof_area_load</t>
        </is>
      </c>
      <c r="D10" s="7">
        <v>3.5</v>
      </c>
      <c r="E10" s="10" t="inlineStr">
        <is>
          <t>kN/m2</t>
        </is>
      </c>
      <c r="F10" s="10" t="inlineStr">
        <is>
          <t>synthetic_test_fixture</t>
        </is>
      </c>
      <c r="G10" s="10" t="inlineStr">
        <is>
          <t>REQ-103</t>
        </is>
      </c>
      <c r="H10" s="10" t="inlineStr">
        <is>
          <t>SIMULATION_ONLY</t>
        </is>
      </c>
    </row>
    <row r="11" ht="18" customHeight="1">
      <c r="A11" s="10" t="inlineStr">
        <is>
          <t>IN-007</t>
        </is>
      </c>
      <c r="B11" s="10" t="inlineStr">
        <is>
          <t>assumption</t>
        </is>
      </c>
      <c r="C11" s="10" t="inlineStr">
        <is>
          <t>wall_misc_allowance</t>
        </is>
      </c>
      <c r="D11" s="7">
        <v>110.0</v>
      </c>
      <c r="E11" s="10" t="inlineStr">
        <is>
          <t>kN</t>
        </is>
      </c>
      <c r="F11" s="10" t="inlineStr">
        <is>
          <t>synthetic_test_fixture</t>
        </is>
      </c>
      <c r="G11" s="10" t="inlineStr">
        <is>
          <t>REQ-103</t>
        </is>
      </c>
      <c r="H11" s="10" t="inlineStr">
        <is>
          <t>SIMULATION_ONLY</t>
        </is>
      </c>
    </row>
    <row r="12" ht="18" customHeight="1">
      <c r="A12" s="10" t="inlineStr">
        <is>
          <t>IN-008</t>
        </is>
      </c>
      <c r="B12" s="10" t="inlineStr">
        <is>
          <t>assumption</t>
        </is>
      </c>
      <c r="C12" s="10" t="inlineStr">
        <is>
          <t>column_count</t>
        </is>
      </c>
      <c r="D12" s="7">
        <v>9</v>
      </c>
      <c r="E12" s="10" t="inlineStr">
        <is>
          <t>count</t>
        </is>
      </c>
      <c r="F12" s="10" t="inlineStr">
        <is>
          <t>synthetic_test_fixture</t>
        </is>
      </c>
      <c r="G12" s="10" t="inlineStr">
        <is>
          <t>REQ-103</t>
        </is>
      </c>
      <c r="H12" s="10" t="inlineStr">
        <is>
          <t>SIMULATION_ONLY</t>
        </is>
      </c>
    </row>
    <row r="13" ht="18" customHeight="1">
      <c r="A13" s="10" t="inlineStr">
        <is>
          <t>IN-009</t>
        </is>
      </c>
      <c r="B13" s="10" t="inlineStr">
        <is>
          <t>assumption</t>
        </is>
      </c>
      <c r="C13" s="10" t="inlineStr">
        <is>
          <t>tributary_width</t>
        </is>
      </c>
      <c r="D13" s="7">
        <v>3.5</v>
      </c>
      <c r="E13" s="10" t="inlineStr">
        <is>
          <t>m</t>
        </is>
      </c>
      <c r="F13" s="10" t="inlineStr">
        <is>
          <t>synthetic_test_fixture</t>
        </is>
      </c>
      <c r="G13" s="10" t="inlineStr">
        <is>
          <t>REQ-103</t>
        </is>
      </c>
      <c r="H13" s="10" t="inlineStr">
        <is>
          <t>SIMULATION_ONLY</t>
        </is>
      </c>
    </row>
    <row r="14" ht="18" customHeight="1">
      <c r="A14" s="10" t="inlineStr">
        <is>
          <t>IN-010</t>
        </is>
      </c>
      <c r="B14" s="10" t="inlineStr">
        <is>
          <t>assumption</t>
        </is>
      </c>
      <c r="C14" s="10" t="inlineStr">
        <is>
          <t>beam_span</t>
        </is>
      </c>
      <c r="D14" s="7">
        <v>5.0</v>
      </c>
      <c r="E14" s="10" t="inlineStr">
        <is>
          <t>m</t>
        </is>
      </c>
      <c r="F14" s="10" t="inlineStr">
        <is>
          <t>synthetic_test_fixture</t>
        </is>
      </c>
      <c r="G14" s="10" t="inlineStr">
        <is>
          <t>REQ-103</t>
        </is>
      </c>
      <c r="H14" s="10" t="inlineStr">
        <is>
          <t>SIMULATION_ONLY</t>
        </is>
      </c>
    </row>
    <row r="15" ht="18" customHeight="1">
      <c r="A15" s="10" t="inlineStr">
        <is>
          <t>IN-011</t>
        </is>
      </c>
      <c r="B15" s="10" t="inlineStr">
        <is>
          <t>assumption</t>
        </is>
      </c>
      <c r="C15" s="10" t="inlineStr">
        <is>
          <t>foundation_strip_width</t>
        </is>
      </c>
      <c r="D15" s="7">
        <v>1.5</v>
      </c>
      <c r="E15" s="10" t="inlineStr">
        <is>
          <t>m</t>
        </is>
      </c>
      <c r="F15" s="10" t="inlineStr">
        <is>
          <t>synthetic_test_fixture</t>
        </is>
      </c>
      <c r="G15" s="10" t="inlineStr">
        <is>
          <t>REQ-104</t>
        </is>
      </c>
      <c r="H15" s="10" t="inlineStr">
        <is>
          <t>SIMULATION_ONLY</t>
        </is>
      </c>
    </row>
    <row r="16" ht="18" customHeight="1">
      <c r="A16" s="10" t="inlineStr">
        <is>
          <t>IN-012</t>
        </is>
      </c>
      <c r="B16" s="10" t="inlineStr">
        <is>
          <t>assumption</t>
        </is>
      </c>
      <c r="C16" s="10" t="inlineStr">
        <is>
          <t>foundation_total_strip_length</t>
        </is>
      </c>
      <c r="D16" s="7">
        <v>48.0</v>
      </c>
      <c r="E16" s="10" t="inlineStr">
        <is>
          <t>m</t>
        </is>
      </c>
      <c r="F16" s="10" t="inlineStr">
        <is>
          <t>synthetic_test_fixture</t>
        </is>
      </c>
      <c r="G16" s="10" t="inlineStr">
        <is>
          <t>REQ-104</t>
        </is>
      </c>
      <c r="H16" s="10" t="inlineStr">
        <is>
          <t>SIMULATION_ONLY</t>
        </is>
      </c>
    </row>
    <row r="17" ht="18" customHeight="1">
      <c r="A17" s="10" t="inlineStr">
        <is>
          <t>IN-013</t>
        </is>
      </c>
      <c r="B17" s="10" t="inlineStr">
        <is>
          <t>project_leader_confirmed</t>
        </is>
      </c>
      <c r="C17" s="10" t="inlineStr">
        <is>
          <t>peak_occupancy</t>
        </is>
      </c>
      <c r="D17" s="7">
        <v>200</v>
      </c>
      <c r="E17" s="10" t="inlineStr">
        <is>
          <t>persons</t>
        </is>
      </c>
      <c r="F17" s="10" t="inlineStr">
        <is>
          <t>HBM-OCC-2026-001</t>
        </is>
      </c>
      <c r="G17" s="10" t="inlineStr">
        <is>
          <t>REQ-107</t>
        </is>
      </c>
      <c r="H17" s="10" t="inlineStr">
        <is>
          <t>CONFIRMED</t>
        </is>
      </c>
    </row>
    <row r="18" ht="18" customHeight="1">
      <c r="A18" s="10" t="inlineStr">
        <is>
          <t>IN-014</t>
        </is>
      </c>
      <c r="B18" s="10" t="inlineStr">
        <is>
          <t>project_leader_confirmed</t>
        </is>
      </c>
      <c r="C18" s="10" t="inlineStr">
        <is>
          <t>regular_occupancy</t>
        </is>
      </c>
      <c r="D18" s="7">
        <v>150</v>
      </c>
      <c r="E18" s="10" t="inlineStr">
        <is>
          <t>persons</t>
        </is>
      </c>
      <c r="F18" s="10" t="inlineStr">
        <is>
          <t>HBM-OCC-2026-001</t>
        </is>
      </c>
      <c r="G18" s="10" t="inlineStr">
        <is>
          <t>REQ-107</t>
        </is>
      </c>
      <c r="H18" s="10" t="inlineStr">
        <is>
          <t>CONFIRMED</t>
        </is>
      </c>
    </row>
    <row r="19" ht="18" customHeight="1">
      <c r="A19" s="10" t="inlineStr">
        <is>
          <t>IN-015</t>
        </is>
      </c>
      <c r="B19" s="10" t="inlineStr">
        <is>
          <t>project_leader_confirmed</t>
        </is>
      </c>
      <c r="C19" s="10" t="inlineStr">
        <is>
          <t>friday_occupancy</t>
        </is>
      </c>
      <c r="D19" s="7">
        <v>125</v>
      </c>
      <c r="E19" s="10" t="inlineStr">
        <is>
          <t>persons</t>
        </is>
      </c>
      <c r="F19" s="10" t="inlineStr">
        <is>
          <t>HBM-OCC-2026-001</t>
        </is>
      </c>
      <c r="G19" s="10" t="inlineStr">
        <is>
          <t>REQ-107</t>
        </is>
      </c>
      <c r="H19" s="10" t="inlineStr">
        <is>
          <t>CONFIRMED</t>
        </is>
      </c>
    </row>
    <row r="20" ht="18" customHeight="1">
      <c r="A20" s="10" t="inlineStr">
        <is>
          <t>IN-016</t>
        </is>
      </c>
      <c r="B20" s="10" t="inlineStr">
        <is>
          <t>assumption</t>
        </is>
      </c>
      <c r="C20" s="10" t="inlineStr">
        <is>
          <t>exit_count</t>
        </is>
      </c>
      <c r="D20" s="7">
        <v>2</v>
      </c>
      <c r="E20" s="10" t="inlineStr">
        <is>
          <t>count</t>
        </is>
      </c>
      <c r="F20" s="10" t="inlineStr">
        <is>
          <t>synthetic_test_fixture</t>
        </is>
      </c>
      <c r="G20" s="10" t="inlineStr">
        <is>
          <t>REQ-105</t>
        </is>
      </c>
      <c r="H20" s="10" t="inlineStr">
        <is>
          <t>SIMULATION_ONLY</t>
        </is>
      </c>
    </row>
    <row r="21" ht="18" customHeight="1">
      <c r="A21" s="10" t="inlineStr">
        <is>
          <t>IN-017</t>
        </is>
      </c>
      <c r="B21" s="10" t="inlineStr">
        <is>
          <t>assumption</t>
        </is>
      </c>
      <c r="C21" s="10" t="inlineStr">
        <is>
          <t>exit_width_each</t>
        </is>
      </c>
      <c r="D21" s="7">
        <v>1.2</v>
      </c>
      <c r="E21" s="10" t="inlineStr">
        <is>
          <t>m</t>
        </is>
      </c>
      <c r="F21" s="10" t="inlineStr">
        <is>
          <t>synthetic_test_fixture</t>
        </is>
      </c>
      <c r="G21" s="10" t="inlineStr">
        <is>
          <t>REQ-105</t>
        </is>
      </c>
      <c r="H21" s="10" t="inlineStr">
        <is>
          <t>SIMULATION_ONLY</t>
        </is>
      </c>
    </row>
    <row r="22" ht="18" customHeight="1">
      <c r="A22" s="10" t="inlineStr">
        <is>
          <t>IN-018</t>
        </is>
      </c>
      <c r="B22" s="10" t="inlineStr">
        <is>
          <t>assumption</t>
        </is>
      </c>
      <c r="C22" s="10" t="inlineStr">
        <is>
          <t>ventilation_rate</t>
        </is>
      </c>
      <c r="D22" s="7">
        <v>7.0</v>
      </c>
      <c r="E22" s="10" t="inlineStr">
        <is>
          <t>L/s/person</t>
        </is>
      </c>
      <c r="F22" s="10" t="inlineStr">
        <is>
          <t>synthetic_test_fixture</t>
        </is>
      </c>
      <c r="G22" s="10" t="inlineStr">
        <is>
          <t>REQ-105</t>
        </is>
      </c>
      <c r="H22" s="10" t="inlineStr">
        <is>
          <t>SIMULATION_ONLY</t>
        </is>
      </c>
    </row>
    <row r="23" ht="18" customHeight="1">
      <c r="A23" s="10" t="inlineStr">
        <is>
          <t>IN-019</t>
        </is>
      </c>
      <c r="B23" s="10" t="inlineStr">
        <is>
          <t>project_leader_confirmed</t>
        </is>
      </c>
      <c r="C23" s="10" t="inlineStr">
        <is>
          <t>parking_capacity</t>
        </is>
      </c>
      <c r="D23" s="7">
        <v>225</v>
      </c>
      <c r="E23" s="10" t="inlineStr">
        <is>
          <t>spaces</t>
        </is>
      </c>
      <c r="F23" s="10" t="inlineStr">
        <is>
          <t>central_model</t>
        </is>
      </c>
      <c r="G23" s="10" t="inlineStr">
        <is>
          <t>REQ-106</t>
        </is>
      </c>
      <c r="H23" s="10" t="inlineStr">
        <is>
          <t>CONFIRMED</t>
        </is>
      </c>
    </row>
    <row r="24" ht="18" customHeight="1">
      <c r="A24" s="10" t="inlineStr">
        <is>
          <t>IN-020</t>
        </is>
      </c>
      <c r="B24" s="10" t="inlineStr">
        <is>
          <t>synthetic_activity</t>
        </is>
      </c>
      <c r="C24" s="10" t="inlineStr">
        <is>
          <t>equipment_hours</t>
        </is>
      </c>
      <c r="D24" s="7">
        <v>496.0</v>
      </c>
      <c r="E24" s="10" t="inlineStr">
        <is>
          <t>h</t>
        </is>
      </c>
      <c r="F24" s="10" t="inlineStr">
        <is>
          <t>REQ-108 simulation</t>
        </is>
      </c>
      <c r="G24" s="10" t="inlineStr">
        <is>
          <t>REQ-108</t>
        </is>
      </c>
      <c r="H24" s="10" t="inlineStr">
        <is>
          <t>SIMULATION_ONLY</t>
        </is>
      </c>
    </row>
    <row r="25" ht="18" customHeight="1">
      <c r="A25" s="10" t="inlineStr">
        <is>
          <t>IN-021</t>
        </is>
      </c>
      <c r="B25" s="10" t="inlineStr">
        <is>
          <t>synthetic_activity</t>
        </is>
      </c>
      <c r="C25" s="10" t="inlineStr">
        <is>
          <t>transport_vehicle_km</t>
        </is>
      </c>
      <c r="D25" s="7">
        <v>6600.0</v>
      </c>
      <c r="E25" s="10" t="inlineStr">
        <is>
          <t>vehicle-km</t>
        </is>
      </c>
      <c r="F25" s="10" t="inlineStr">
        <is>
          <t>REQ-108 simulation</t>
        </is>
      </c>
      <c r="G25" s="10" t="inlineStr">
        <is>
          <t>REQ-108</t>
        </is>
      </c>
      <c r="H25" s="10" t="inlineStr">
        <is>
          <t>SIMULATION_ONLY</t>
        </is>
      </c>
    </row>
    <row r="26" ht="18" customHeight="1">
      <c r="A26" s="10" t="inlineStr">
        <is>
          <t>IN-022</t>
        </is>
      </c>
      <c r="B26" s="10" t="inlineStr">
        <is>
          <t>model</t>
        </is>
      </c>
      <c r="C26" s="10" t="inlineStr">
        <is>
          <t>existing_width</t>
        </is>
      </c>
      <c r="D26" s="7">
        <v>12.0</v>
      </c>
      <c r="E26" s="10" t="inlineStr">
        <is>
          <t>m</t>
        </is>
      </c>
      <c r="F26" s="10" t="inlineStr">
        <is>
          <t>central_model</t>
        </is>
      </c>
      <c r="G26" s="10" t="inlineStr">
        <is>
          <t>BLD-EXISTING</t>
        </is>
      </c>
      <c r="H26" s="10" t="inlineStr">
        <is>
          <t>SIMULATION_ONLY</t>
        </is>
      </c>
    </row>
    <row r="27" ht="18" customHeight="1">
      <c r="A27" s="10" t="inlineStr">
        <is>
          <t>IN-023</t>
        </is>
      </c>
      <c r="B27" s="10" t="inlineStr">
        <is>
          <t>model</t>
        </is>
      </c>
      <c r="C27" s="10" t="inlineStr">
        <is>
          <t>existing_length</t>
        </is>
      </c>
      <c r="D27" s="7">
        <v>14.0</v>
      </c>
      <c r="E27" s="10" t="inlineStr">
        <is>
          <t>m</t>
        </is>
      </c>
      <c r="F27" s="10" t="inlineStr">
        <is>
          <t>central_model</t>
        </is>
      </c>
      <c r="G27" s="10" t="inlineStr">
        <is>
          <t>BLD-EXISTING</t>
        </is>
      </c>
      <c r="H27" s="10" t="inlineStr">
        <is>
          <t>SIMULATION_ONLY</t>
        </is>
      </c>
    </row>
    <row r="28" ht="18" customHeight="1">
      <c r="A28" s="10" t="inlineStr">
        <is>
          <t>IN-024</t>
        </is>
      </c>
      <c r="B28" s="10" t="inlineStr">
        <is>
          <t>model</t>
        </is>
      </c>
      <c r="C28" s="10" t="inlineStr">
        <is>
          <t>existing_storeys</t>
        </is>
      </c>
      <c r="D28" s="7">
        <v>2</v>
      </c>
      <c r="E28" s="10" t="inlineStr">
        <is>
          <t>count</t>
        </is>
      </c>
      <c r="F28" s="10" t="inlineStr">
        <is>
          <t>central_model</t>
        </is>
      </c>
      <c r="G28" s="10" t="inlineStr">
        <is>
          <t>BLD-EXISTING</t>
        </is>
      </c>
      <c r="H28" s="10" t="inlineStr">
        <is>
          <t>SIMULATION_ONLY</t>
        </is>
      </c>
    </row>
    <row r="29" ht="18" customHeight="1">
      <c r="A29" s="10" t="inlineStr">
        <is>
          <t>IN-025</t>
        </is>
      </c>
      <c r="B29" s="10" t="inlineStr">
        <is>
          <t>model</t>
        </is>
      </c>
      <c r="C29" s="10" t="inlineStr">
        <is>
          <t>net_space_area</t>
        </is>
      </c>
      <c r="D29" s="7">
        <v>388.32</v>
      </c>
      <c r="E29" s="10" t="inlineStr">
        <is>
          <t>m2</t>
        </is>
      </c>
      <c r="F29" s="10" t="inlineStr">
        <is>
          <t>central_model</t>
        </is>
      </c>
      <c r="G29" s="10" t="inlineStr">
        <is>
          <t>space_objects</t>
        </is>
      </c>
      <c r="H29" s="10" t="inlineStr">
        <is>
          <t>SIMULATION_ONLY</t>
        </is>
      </c>
    </row>
    <row r="30" ht="18" customHeight="1">
      <c r="A30" s="10" t="inlineStr">
        <is>
          <t>IN-026</t>
        </is>
      </c>
      <c r="B30" s="10" t="inlineStr">
        <is>
          <t>synthetic_activity</t>
        </is>
      </c>
      <c r="C30" s="10" t="inlineStr">
        <is>
          <t>phase_site_preparation_days</t>
        </is>
      </c>
      <c r="D30" s="7">
        <v>10</v>
      </c>
      <c r="E30" s="10" t="inlineStr">
        <is>
          <t>days</t>
        </is>
      </c>
      <c r="F30" s="10" t="inlineStr">
        <is>
          <t>REQ-108 simulation</t>
        </is>
      </c>
      <c r="G30" s="10" t="inlineStr">
        <is>
          <t>REQ-108</t>
        </is>
      </c>
      <c r="H30" s="10" t="inlineStr">
        <is>
          <t>SIMULATION_ONLY</t>
        </is>
      </c>
    </row>
    <row r="31" ht="18" customHeight="1">
      <c r="A31" s="10" t="inlineStr">
        <is>
          <t>IN-027</t>
        </is>
      </c>
      <c r="B31" s="10" t="inlineStr">
        <is>
          <t>synthetic_activity</t>
        </is>
      </c>
      <c r="C31" s="10" t="inlineStr">
        <is>
          <t>phase_foundation_days</t>
        </is>
      </c>
      <c r="D31" s="7">
        <v>15</v>
      </c>
      <c r="E31" s="10" t="inlineStr">
        <is>
          <t>days</t>
        </is>
      </c>
      <c r="F31" s="10" t="inlineStr">
        <is>
          <t>REQ-108 simulation</t>
        </is>
      </c>
      <c r="G31" s="10" t="inlineStr">
        <is>
          <t>REQ-108</t>
        </is>
      </c>
      <c r="H31" s="10" t="inlineStr">
        <is>
          <t>SIMULATION_ONLY</t>
        </is>
      </c>
    </row>
    <row r="32" ht="18" customHeight="1">
      <c r="A32" s="10" t="inlineStr">
        <is>
          <t>IN-028</t>
        </is>
      </c>
      <c r="B32" s="10" t="inlineStr">
        <is>
          <t>synthetic_activity</t>
        </is>
      </c>
      <c r="C32" s="10" t="inlineStr">
        <is>
          <t>phase_structure_days</t>
        </is>
      </c>
      <c r="D32" s="7">
        <v>30</v>
      </c>
      <c r="E32" s="10" t="inlineStr">
        <is>
          <t>days</t>
        </is>
      </c>
      <c r="F32" s="10" t="inlineStr">
        <is>
          <t>REQ-108 simulation</t>
        </is>
      </c>
      <c r="G32" s="10" t="inlineStr">
        <is>
          <t>REQ-108</t>
        </is>
      </c>
      <c r="H32" s="10" t="inlineStr">
        <is>
          <t>SIMULATION_ONLY</t>
        </is>
      </c>
    </row>
    <row r="33" ht="18" customHeight="1">
      <c r="A33" s="10" t="inlineStr">
        <is>
          <t>IN-029</t>
        </is>
      </c>
      <c r="B33" s="10" t="inlineStr">
        <is>
          <t>synthetic_activity</t>
        </is>
      </c>
      <c r="C33" s="10" t="inlineStr">
        <is>
          <t>phase_finishes_days</t>
        </is>
      </c>
      <c r="D33" s="7">
        <v>40</v>
      </c>
      <c r="E33" s="10" t="inlineStr">
        <is>
          <t>days</t>
        </is>
      </c>
      <c r="F33" s="10" t="inlineStr">
        <is>
          <t>REQ-108 simulation</t>
        </is>
      </c>
      <c r="G33" s="10" t="inlineStr">
        <is>
          <t>REQ-108</t>
        </is>
      </c>
      <c r="H33" s="10" t="inlineStr">
        <is>
          <t>SIMULATION_ONLY</t>
        </is>
      </c>
    </row>
    <row r="34" ht="18" customHeight="1">
      <c r="A34" s="10" t="inlineStr">
        <is>
          <t>IN-030</t>
        </is>
      </c>
      <c r="B34" s="10" t="inlineStr">
        <is>
          <t>synthetic_measurement</t>
        </is>
      </c>
      <c r="C34" s="10" t="inlineStr">
        <is>
          <t>occupied_regular_weekday</t>
        </is>
      </c>
      <c r="D34" s="7">
        <v>110.0</v>
      </c>
      <c r="E34" s="10" t="inlineStr">
        <is>
          <t>spaces</t>
        </is>
      </c>
      <c r="F34" s="10" t="inlineStr">
        <is>
          <t>REQ-106 simulation</t>
        </is>
      </c>
      <c r="G34" s="10" t="inlineStr">
        <is>
          <t>REQ-106</t>
        </is>
      </c>
      <c r="H34" s="10" t="inlineStr">
        <is>
          <t>SIMULATION_ONLY</t>
        </is>
      </c>
    </row>
    <row r="35" ht="18" customHeight="1">
      <c r="A35" s="10" t="inlineStr">
        <is>
          <t>IN-031</t>
        </is>
      </c>
      <c r="B35" s="10" t="inlineStr">
        <is>
          <t>synthetic_measurement</t>
        </is>
      </c>
      <c r="C35" s="10" t="inlineStr">
        <is>
          <t>occupied_friday_pre_peak</t>
        </is>
      </c>
      <c r="D35" s="7">
        <v>135.0</v>
      </c>
      <c r="E35" s="10" t="inlineStr">
        <is>
          <t>spaces</t>
        </is>
      </c>
      <c r="F35" s="10" t="inlineStr">
        <is>
          <t>REQ-106 simulation</t>
        </is>
      </c>
      <c r="G35" s="10" t="inlineStr">
        <is>
          <t>REQ-106</t>
        </is>
      </c>
      <c r="H35" s="10" t="inlineStr">
        <is>
          <t>SIMULATION_ONLY</t>
        </is>
      </c>
    </row>
    <row r="36" ht="18" customHeight="1">
      <c r="A36" s="10" t="inlineStr">
        <is>
          <t>IN-032</t>
        </is>
      </c>
      <c r="B36" s="10" t="inlineStr">
        <is>
          <t>synthetic_measurement</t>
        </is>
      </c>
      <c r="C36" s="10" t="inlineStr">
        <is>
          <t>occupied_friday_prayer_peak</t>
        </is>
      </c>
      <c r="D36" s="7">
        <v>170.0</v>
      </c>
      <c r="E36" s="10" t="inlineStr">
        <is>
          <t>spaces</t>
        </is>
      </c>
      <c r="F36" s="10" t="inlineStr">
        <is>
          <t>REQ-106 simulation</t>
        </is>
      </c>
      <c r="G36" s="10" t="inlineStr">
        <is>
          <t>REQ-106</t>
        </is>
      </c>
      <c r="H36" s="10" t="inlineStr">
        <is>
          <t>SIMULATION_ONLY</t>
        </is>
      </c>
    </row>
    <row r="37" ht="18" customHeight="1">
      <c r="A37" s="10" t="inlineStr">
        <is>
          <t>IN-033</t>
        </is>
      </c>
      <c r="B37" s="10" t="inlineStr">
        <is>
          <t>synthetic_measurement</t>
        </is>
      </c>
      <c r="C37" s="10" t="inlineStr">
        <is>
          <t>occupied_saturday_active_use</t>
        </is>
      </c>
      <c r="D37" s="7">
        <v>145.0</v>
      </c>
      <c r="E37" s="10" t="inlineStr">
        <is>
          <t>spaces</t>
        </is>
      </c>
      <c r="F37" s="10" t="inlineStr">
        <is>
          <t>REQ-106 simulation</t>
        </is>
      </c>
      <c r="G37" s="10" t="inlineStr">
        <is>
          <t>REQ-106</t>
        </is>
      </c>
      <c r="H37" s="10" t="inlineStr">
        <is>
          <t>SIMULATION_ONLY</t>
        </is>
      </c>
    </row>
    <row r="38" ht="18" customHeight="1">
      <c r="A38" s="10" t="inlineStr">
        <is>
          <t>IN-034</t>
        </is>
      </c>
      <c r="B38" s="10" t="inlineStr">
        <is>
          <t>synthetic_measurement</t>
        </is>
      </c>
      <c r="C38" s="10" t="inlineStr">
        <is>
          <t>occupied_sunday_active_use</t>
        </is>
      </c>
      <c r="D38" s="7">
        <v>125.0</v>
      </c>
      <c r="E38" s="10" t="inlineStr">
        <is>
          <t>spaces</t>
        </is>
      </c>
      <c r="F38" s="10" t="inlineStr">
        <is>
          <t>REQ-106 simulation</t>
        </is>
      </c>
      <c r="G38" s="10" t="inlineStr">
        <is>
          <t>REQ-106</t>
        </is>
      </c>
      <c r="H38" s="10" t="inlineStr">
        <is>
          <t>SIMULATION_ONLY</t>
        </is>
      </c>
    </row>
    <row r="39" ht="18" customHeight="1">
      <c r="A39" s="10" t="inlineStr">
        <is>
          <t>IN-035</t>
        </is>
      </c>
      <c r="B39" s="10" t="inlineStr">
        <is>
          <t>synthetic_parking_demand</t>
        </is>
      </c>
      <c r="C39" s="10" t="inlineStr">
        <is>
          <t>demand_regular_future</t>
        </is>
      </c>
      <c r="D39" s="7">
        <v>30</v>
      </c>
      <c r="E39" s="10" t="inlineStr">
        <is>
          <t>spaces</t>
        </is>
      </c>
      <c r="F39" s="10" t="inlineStr">
        <is>
          <t>REQ-106 simulation</t>
        </is>
      </c>
      <c r="G39" s="10" t="inlineStr">
        <is>
          <t>REQ-106</t>
        </is>
      </c>
      <c r="H39" s="10" t="inlineStr">
        <is>
          <t>SIMULATION_ONLY</t>
        </is>
      </c>
    </row>
    <row r="40" ht="18" customHeight="1">
      <c r="A40" s="10" t="inlineStr">
        <is>
          <t>IN-036</t>
        </is>
      </c>
      <c r="B40" s="10" t="inlineStr">
        <is>
          <t>synthetic_parking_demand</t>
        </is>
      </c>
      <c r="C40" s="10" t="inlineStr">
        <is>
          <t>demand_friday_future</t>
        </is>
      </c>
      <c r="D40" s="7">
        <v>25</v>
      </c>
      <c r="E40" s="10" t="inlineStr">
        <is>
          <t>spaces</t>
        </is>
      </c>
      <c r="F40" s="10" t="inlineStr">
        <is>
          <t>REQ-106 simulation</t>
        </is>
      </c>
      <c r="G40" s="10" t="inlineStr">
        <is>
          <t>REQ-106</t>
        </is>
      </c>
      <c r="H40" s="10" t="inlineStr">
        <is>
          <t>SIMULATION_ONLY</t>
        </is>
      </c>
    </row>
    <row r="41" ht="18" customHeight="1">
      <c r="A41" s="10" t="inlineStr">
        <is>
          <t>IN-037</t>
        </is>
      </c>
      <c r="B41" s="10" t="inlineStr">
        <is>
          <t>synthetic_parking_demand</t>
        </is>
      </c>
      <c r="C41" s="10" t="inlineStr">
        <is>
          <t>demand_special_peak</t>
        </is>
      </c>
      <c r="D41" s="7">
        <v>40</v>
      </c>
      <c r="E41" s="10" t="inlineStr">
        <is>
          <t>spaces</t>
        </is>
      </c>
      <c r="F41" s="10" t="inlineStr">
        <is>
          <t>REQ-106 simulation</t>
        </is>
      </c>
      <c r="G41" s="10" t="inlineStr">
        <is>
          <t>REQ-106</t>
        </is>
      </c>
      <c r="H41" s="10" t="inlineStr">
        <is>
          <t>SIMULATION_ONLY</t>
        </is>
      </c>
    </row>
    <row r="42" ht="18" customHeight="1">
      <c r="A42" s="10" t="inlineStr">
        <is>
          <t>IN-038</t>
        </is>
      </c>
      <c r="B42" s="10" t="inlineStr">
        <is>
          <t>synthetic_parking_measurement</t>
        </is>
      </c>
      <c r="C42" s="10" t="inlineStr">
        <is>
          <t>minimum_available_spaces</t>
        </is>
      </c>
      <c r="D42" s="7">
        <v>55</v>
      </c>
      <c r="E42" s="10" t="inlineStr">
        <is>
          <t>spaces</t>
        </is>
      </c>
      <c r="F42" s="10" t="inlineStr">
        <is>
          <t>REQ-106 simulation</t>
        </is>
      </c>
      <c r="G42" s="10" t="inlineStr">
        <is>
          <t>REQ-106</t>
        </is>
      </c>
      <c r="H42" s="10" t="inlineStr">
        <is>
          <t>SIMULATION_ONLY</t>
        </is>
      </c>
    </row>
  </sheetData>
  <mergeCells count="2">
    <mergeCell ref="A1:H1"/>
    <mergeCell ref="A2:H2"/>
  </mergeCell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AREA VOLUME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CAL-A01</t>
        </is>
      </c>
      <c r="B5" s="10" t="inlineStr">
        <is>
          <t>Extension floor area</t>
        </is>
      </c>
      <c r="C5" s="10" t="inlineStr">
        <is>
          <t>width * length</t>
        </is>
      </c>
      <c r="D5" s="10" t="inlineStr">
        <is>
          <t>IN-001,IN-002</t>
        </is>
      </c>
      <c r="E5" s="10" t="inlineStr">
        <is>
          <t>See Inputs / linked calculations</t>
        </is>
      </c>
      <c r="F5" s="10" t="inlineStr">
        <is>
          <t/>
        </is>
      </c>
      <c r="G5" s="7">
        <f>Inputs!$D$5*Inputs!$D$6</f>
        <v>70.0</v>
      </c>
      <c r="H5" s="10" t="inlineStr">
        <is>
          <t>m2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CAL-A02</t>
        </is>
      </c>
      <c r="B6" s="10" t="inlineStr">
        <is>
          <t>Extension gross floor area</t>
        </is>
      </c>
      <c r="C6" s="10" t="inlineStr">
        <is>
          <t>floor_area * storeys</t>
        </is>
      </c>
      <c r="D6" s="10" t="inlineStr">
        <is>
          <t>CAL-A01,IN-003</t>
        </is>
      </c>
      <c r="E6" s="10" t="inlineStr">
        <is>
          <t>See Inputs / linked calculations</t>
        </is>
      </c>
      <c r="F6" s="10" t="inlineStr">
        <is>
          <t/>
        </is>
      </c>
      <c r="G6" s="7">
        <f>'Area_Volume'!$G$5*Inputs!$D$7</f>
        <v>140.0</v>
      </c>
      <c r="H6" s="10" t="inlineStr">
        <is>
          <t>m2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CAL-A03</t>
        </is>
      </c>
      <c r="B7" s="10" t="inlineStr">
        <is>
          <t>Extension enclosed volume</t>
        </is>
      </c>
      <c r="C7" s="10" t="inlineStr">
        <is>
          <t>floor_area * storey_height * storeys</t>
        </is>
      </c>
      <c r="D7" s="10" t="inlineStr">
        <is>
          <t>CAL-A01,IN-004,IN-003</t>
        </is>
      </c>
      <c r="E7" s="10" t="inlineStr">
        <is>
          <t>See Inputs / linked calculations</t>
        </is>
      </c>
      <c r="F7" s="10" t="inlineStr">
        <is>
          <t/>
        </is>
      </c>
      <c r="G7" s="7">
        <f>'Area_Volume'!$G$5*Inputs!$D$8*Inputs!$D$7</f>
        <v>448.0</v>
      </c>
      <c r="H7" s="10" t="inlineStr">
        <is>
          <t>m3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  <row r="8" ht="18" customHeight="1">
      <c r="A8" s="10" t="inlineStr">
        <is>
          <t>CAL-A04</t>
        </is>
      </c>
      <c r="B8" s="10" t="inlineStr">
        <is>
          <t>Existing gross floor area</t>
        </is>
      </c>
      <c r="C8" s="10" t="inlineStr">
        <is>
          <t>existing_width * existing_length * storeys</t>
        </is>
      </c>
      <c r="D8" s="10" t="inlineStr">
        <is>
          <t/>
        </is>
      </c>
      <c r="E8" s="10" t="inlineStr">
        <is>
          <t>See Inputs / linked calculations</t>
        </is>
      </c>
      <c r="F8" s="10" t="inlineStr">
        <is>
          <t/>
        </is>
      </c>
      <c r="G8" s="7">
        <f>Inputs!$D$26*Inputs!$D$27*Inputs!$D$28</f>
        <v>336.0</v>
      </c>
      <c r="H8" s="10" t="inlineStr">
        <is>
          <t>m2</t>
        </is>
      </c>
      <c r="I8" s="10" t="inlineStr">
        <is>
          <t>CALCULATED_CONCEPT_RESULT</t>
        </is>
      </c>
      <c r="J8" s="10" t="inlineStr">
        <is>
          <t>PROFESSIONAL ACCEPTANCE CRITERION NOT APPLIED</t>
        </is>
      </c>
    </row>
    <row r="9" ht="18" customHeight="1">
      <c r="A9" s="10" t="inlineStr">
        <is>
          <t>CAL-A05</t>
        </is>
      </c>
      <c r="B9" s="10" t="inlineStr">
        <is>
          <t>Total gross floor area</t>
        </is>
      </c>
      <c r="C9" s="10" t="inlineStr">
        <is>
          <t>existing_gross_area + extension_gross_area</t>
        </is>
      </c>
      <c r="D9" s="10" t="inlineStr">
        <is>
          <t>CAL-A02,CAL-A04</t>
        </is>
      </c>
      <c r="E9" s="10" t="inlineStr">
        <is>
          <t>See Inputs / linked calculations</t>
        </is>
      </c>
      <c r="F9" s="10" t="inlineStr">
        <is>
          <t/>
        </is>
      </c>
      <c r="G9" s="7">
        <f>'Area_Volume'!$G$6+'Area_Volume'!$G$8</f>
        <v>476.0</v>
      </c>
      <c r="H9" s="10" t="inlineStr">
        <is>
          <t>m2</t>
        </is>
      </c>
      <c r="I9" s="10" t="inlineStr">
        <is>
          <t>CALCULATED_CONCEPT_RESULT</t>
        </is>
      </c>
      <c r="J9" s="10" t="inlineStr">
        <is>
          <t>PROFESSIONAL ACCEPTANCE CRITERION NOT APPLIED</t>
        </is>
      </c>
    </row>
    <row r="10" ht="18" customHeight="1">
      <c r="A10" s="10" t="inlineStr">
        <is>
          <t>CAL-A06</t>
        </is>
      </c>
      <c r="B10" s="10" t="inlineStr">
        <is>
          <t>Modelled net space area</t>
        </is>
      </c>
      <c r="C10" s="10" t="inlineStr">
        <is>
          <t>sum(space.area_m2)</t>
        </is>
      </c>
      <c r="D10" s="10" t="inlineStr">
        <is>
          <t/>
        </is>
      </c>
      <c r="E10" s="10" t="inlineStr">
        <is>
          <t>See Inputs / linked calculations</t>
        </is>
      </c>
      <c r="F10" s="10" t="inlineStr">
        <is>
          <t/>
        </is>
      </c>
      <c r="G10" s="7">
        <f>Inputs!$D$29</f>
        <v>388.32</v>
      </c>
      <c r="H10" s="10" t="inlineStr">
        <is>
          <t>m2</t>
        </is>
      </c>
      <c r="I10" s="10" t="inlineStr">
        <is>
          <t>CALCULATED_CONCEPT_RESULT</t>
        </is>
      </c>
      <c r="J10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STRUCTURAL LOADS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CAL-S01</t>
        </is>
      </c>
      <c r="B5" s="10" t="inlineStr">
        <is>
          <t>Service floor load per storey</t>
        </is>
      </c>
      <c r="C5" s="10" t="inlineStr">
        <is>
          <t>floor_area * floor_area_load</t>
        </is>
      </c>
      <c r="D5" s="10" t="inlineStr">
        <is>
          <t>CAL-A01,IN-005</t>
        </is>
      </c>
      <c r="E5" s="10" t="inlineStr">
        <is>
          <t>See Inputs / linked calculations</t>
        </is>
      </c>
      <c r="F5" s="10" t="inlineStr">
        <is>
          <t/>
        </is>
      </c>
      <c r="G5" s="7">
        <f>'Area_Volume'!$G$5*Inputs!$D$9</f>
        <v>490.0</v>
      </c>
      <c r="H5" s="10" t="inlineStr">
        <is>
          <t>kN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CAL-S02</t>
        </is>
      </c>
      <c r="B6" s="10" t="inlineStr">
        <is>
          <t>Service roof load</t>
        </is>
      </c>
      <c r="C6" s="10" t="inlineStr">
        <is>
          <t>roof_area * roof_area_load</t>
        </is>
      </c>
      <c r="D6" s="10" t="inlineStr">
        <is>
          <t>CAL-A01,IN-006</t>
        </is>
      </c>
      <c r="E6" s="10" t="inlineStr">
        <is>
          <t>See Inputs / linked calculations</t>
        </is>
      </c>
      <c r="F6" s="10" t="inlineStr">
        <is>
          <t/>
        </is>
      </c>
      <c r="G6" s="7">
        <f>'Area_Volume'!$G$5*Inputs!$D$10</f>
        <v>245.0</v>
      </c>
      <c r="H6" s="10" t="inlineStr">
        <is>
          <t>kN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CAL-S03</t>
        </is>
      </c>
      <c r="B7" s="10" t="inlineStr">
        <is>
          <t>Total service gravity load</t>
        </is>
      </c>
      <c r="C7" s="10" t="inlineStr">
        <is>
          <t>floor_area * floor_load * storeys + roof_area * roof_load + wall_allowance</t>
        </is>
      </c>
      <c r="D7" s="10" t="inlineStr">
        <is>
          <t>CAL-A01,IN-003,IN-005,IN-006,IN-007</t>
        </is>
      </c>
      <c r="E7" s="10" t="inlineStr">
        <is>
          <t>See Inputs / linked calculations</t>
        </is>
      </c>
      <c r="F7" s="10" t="inlineStr">
        <is>
          <t/>
        </is>
      </c>
      <c r="G7" s="7">
        <f>'Structural_Loads'!$G$5*Inputs!$D$7+'Structural_Loads'!$G$6+Inputs!$D$11</f>
        <v>1335.0</v>
      </c>
      <c r="H7" s="10" t="inlineStr">
        <is>
          <t>kN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LOAD PATH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CAL-S04</t>
        </is>
      </c>
      <c r="B5" s="10" t="inlineStr">
        <is>
          <t>Average column reaction</t>
        </is>
      </c>
      <c r="C5" s="10" t="inlineStr">
        <is>
          <t>total_service_load / column_count</t>
        </is>
      </c>
      <c r="D5" s="10" t="inlineStr">
        <is>
          <t>CAL-S03,IN-008</t>
        </is>
      </c>
      <c r="E5" s="10" t="inlineStr">
        <is>
          <t>See Inputs / linked calculations</t>
        </is>
      </c>
      <c r="F5" s="10" t="inlineStr">
        <is>
          <t/>
        </is>
      </c>
      <c r="G5" s="7">
        <f>'Structural_Loads'!$G$7/Inputs!$D$12</f>
        <v>148.33</v>
      </c>
      <c r="H5" s="10" t="inlineStr">
        <is>
          <t>kN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CAL-S05</t>
        </is>
      </c>
      <c r="B6" s="10" t="inlineStr">
        <is>
          <t>Representative beam line load</t>
        </is>
      </c>
      <c r="C6" s="10" t="inlineStr">
        <is>
          <t>floor_area_load * tributary_width</t>
        </is>
      </c>
      <c r="D6" s="10" t="inlineStr">
        <is>
          <t>IN-005,IN-009</t>
        </is>
      </c>
      <c r="E6" s="10" t="inlineStr">
        <is>
          <t>See Inputs / linked calculations</t>
        </is>
      </c>
      <c r="F6" s="10" t="inlineStr">
        <is>
          <t/>
        </is>
      </c>
      <c r="G6" s="7">
        <f>Inputs!$D$9*Inputs!$D$13</f>
        <v>24.5</v>
      </c>
      <c r="H6" s="10" t="inlineStr">
        <is>
          <t>kN/m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CAL-S06</t>
        </is>
      </c>
      <c r="B7" s="10" t="inlineStr">
        <is>
          <t>Representative simple-span moment</t>
        </is>
      </c>
      <c r="C7" s="10" t="inlineStr">
        <is>
          <t>line_load * span^2 / 8</t>
        </is>
      </c>
      <c r="D7" s="10" t="inlineStr">
        <is>
          <t>CAL-S05,IN-010</t>
        </is>
      </c>
      <c r="E7" s="10" t="inlineStr">
        <is>
          <t>See Inputs / linked calculations</t>
        </is>
      </c>
      <c r="F7" s="10" t="inlineStr">
        <is>
          <t/>
        </is>
      </c>
      <c r="G7" s="7">
        <f>'Load_Path'!$G$6*Inputs!$D$14^2/8</f>
        <v>76.56</v>
      </c>
      <c r="H7" s="10" t="inlineStr">
        <is>
          <t>kNm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  <row r="8" ht="18" customHeight="1">
      <c r="A8" s="10" t="inlineStr">
        <is>
          <t>CAL-S07</t>
        </is>
      </c>
      <c r="B8" s="10" t="inlineStr">
        <is>
          <t>Representative support reaction</t>
        </is>
      </c>
      <c r="C8" s="10" t="inlineStr">
        <is>
          <t>line_load * span / 2</t>
        </is>
      </c>
      <c r="D8" s="10" t="inlineStr">
        <is>
          <t>CAL-S05,IN-010</t>
        </is>
      </c>
      <c r="E8" s="10" t="inlineStr">
        <is>
          <t>See Inputs / linked calculations</t>
        </is>
      </c>
      <c r="F8" s="10" t="inlineStr">
        <is>
          <t/>
        </is>
      </c>
      <c r="G8" s="7">
        <f>'Load_Path'!$G$6*Inputs!$D$14/2</f>
        <v>61.25</v>
      </c>
      <c r="H8" s="10" t="inlineStr">
        <is>
          <t>kN</t>
        </is>
      </c>
      <c r="I8" s="10" t="inlineStr">
        <is>
          <t>CALCULATED_CONCEPT_RESULT</t>
        </is>
      </c>
      <c r="J8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FOUNDATION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CAL-F01</t>
        </is>
      </c>
      <c r="B5" s="10" t="inlineStr">
        <is>
          <t>Assumed bearing area</t>
        </is>
      </c>
      <c r="C5" s="10" t="inlineStr">
        <is>
          <t>strip_width * total_strip_length</t>
        </is>
      </c>
      <c r="D5" s="10" t="inlineStr">
        <is>
          <t>IN-011,IN-012</t>
        </is>
      </c>
      <c r="E5" s="10" t="inlineStr">
        <is>
          <t>See Inputs / linked calculations</t>
        </is>
      </c>
      <c r="F5" s="10" t="inlineStr">
        <is>
          <t/>
        </is>
      </c>
      <c r="G5" s="7">
        <f>Inputs!$D$15*Inputs!$D$16</f>
        <v>72.0</v>
      </c>
      <c r="H5" s="10" t="inlineStr">
        <is>
          <t>m2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CAL-F02</t>
        </is>
      </c>
      <c r="B6" s="10" t="inlineStr">
        <is>
          <t>Indicative average contact pressure</t>
        </is>
      </c>
      <c r="C6" s="10" t="inlineStr">
        <is>
          <t>total_service_load / bearing_area</t>
        </is>
      </c>
      <c r="D6" s="10" t="inlineStr">
        <is>
          <t>CAL-S03,CAL-F01</t>
        </is>
      </c>
      <c r="E6" s="10" t="inlineStr">
        <is>
          <t>See Inputs / linked calculations</t>
        </is>
      </c>
      <c r="F6" s="10" t="inlineStr">
        <is>
          <t/>
        </is>
      </c>
      <c r="G6" s="7">
        <f>'Structural_Loads'!$G$7/'Foundation'!$G$5</f>
        <v>18.54</v>
      </c>
      <c r="H6" s="10" t="inlineStr">
        <is>
          <t>kPa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EGRESS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CAL-E01</t>
        </is>
      </c>
      <c r="B5" s="10" t="inlineStr">
        <is>
          <t>Total simulated exit width</t>
        </is>
      </c>
      <c r="C5" s="10" t="inlineStr">
        <is>
          <t>exit_count * exit_width_each</t>
        </is>
      </c>
      <c r="D5" s="10" t="inlineStr">
        <is>
          <t>IN-016,IN-017</t>
        </is>
      </c>
      <c r="E5" s="10" t="inlineStr">
        <is>
          <t>See Inputs / linked calculations</t>
        </is>
      </c>
      <c r="F5" s="10" t="inlineStr">
        <is>
          <t/>
        </is>
      </c>
      <c r="G5" s="7">
        <f>Inputs!$D$20*Inputs!$D$21</f>
        <v>2.4</v>
      </c>
      <c r="H5" s="10" t="inlineStr">
        <is>
          <t>m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CAL-E02</t>
        </is>
      </c>
      <c r="B6" s="10" t="inlineStr">
        <is>
          <t>Persons per simulated exit</t>
        </is>
      </c>
      <c r="C6" s="10" t="inlineStr">
        <is>
          <t>peak_occupancy / exit_count</t>
        </is>
      </c>
      <c r="D6" s="10" t="inlineStr">
        <is>
          <t>IN-013,IN-016</t>
        </is>
      </c>
      <c r="E6" s="10" t="inlineStr">
        <is>
          <t>See Inputs / linked calculations</t>
        </is>
      </c>
      <c r="F6" s="10" t="inlineStr">
        <is>
          <t/>
        </is>
      </c>
      <c r="G6" s="7">
        <f>Inputs!$D$17/Inputs!$D$20</f>
        <v>100.0</v>
      </c>
      <c r="H6" s="10" t="inlineStr">
        <is>
          <t>persons/exit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CAL-E03</t>
        </is>
      </c>
      <c r="B7" s="10" t="inlineStr">
        <is>
          <t>Persons per metre total exit width</t>
        </is>
      </c>
      <c r="C7" s="10" t="inlineStr">
        <is>
          <t>peak_occupancy / total_exit_width</t>
        </is>
      </c>
      <c r="D7" s="10" t="inlineStr">
        <is>
          <t>IN-013,CAL-E01</t>
        </is>
      </c>
      <c r="E7" s="10" t="inlineStr">
        <is>
          <t>See Inputs / linked calculations</t>
        </is>
      </c>
      <c r="F7" s="10" t="inlineStr">
        <is>
          <t/>
        </is>
      </c>
      <c r="G7" s="7">
        <f>Inputs!$D$17/'Egress'!$G$5</f>
        <v>83.33</v>
      </c>
      <c r="H7" s="10" t="inlineStr">
        <is>
          <t>persons/m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VENTILATION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CAL-V01</t>
        </is>
      </c>
      <c r="B5" s="10" t="inlineStr">
        <is>
          <t>Ventilation flow regular_future</t>
        </is>
      </c>
      <c r="C5" s="10" t="inlineStr">
        <is>
          <t>persons * rate_l_s_person * 3.6</t>
        </is>
      </c>
      <c r="D5" s="10" t="inlineStr">
        <is>
          <t>IN-018</t>
        </is>
      </c>
      <c r="E5" s="10" t="inlineStr">
        <is>
          <t>regular_future</t>
        </is>
      </c>
      <c r="F5" s="7">
        <v>150</v>
      </c>
      <c r="G5" s="7">
        <f>Inputs!$D$18*Inputs!$D$22*3.6</f>
        <v>3780.0</v>
      </c>
      <c r="H5" s="10" t="inlineStr">
        <is>
          <t>m3/h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CAL-V02</t>
        </is>
      </c>
      <c r="B6" s="10" t="inlineStr">
        <is>
          <t>Ventilation flow friday_future</t>
        </is>
      </c>
      <c r="C6" s="10" t="inlineStr">
        <is>
          <t>persons * rate_l_s_person * 3.6</t>
        </is>
      </c>
      <c r="D6" s="10" t="inlineStr">
        <is>
          <t>IN-018</t>
        </is>
      </c>
      <c r="E6" s="10" t="inlineStr">
        <is>
          <t>friday_future</t>
        </is>
      </c>
      <c r="F6" s="7">
        <v>125</v>
      </c>
      <c r="G6" s="7">
        <f>Inputs!$D$19*Inputs!$D$22*3.6</f>
        <v>3150.0</v>
      </c>
      <c r="H6" s="10" t="inlineStr">
        <is>
          <t>m3/h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CAL-V03</t>
        </is>
      </c>
      <c r="B7" s="10" t="inlineStr">
        <is>
          <t>Ventilation flow special_peak</t>
        </is>
      </c>
      <c r="C7" s="10" t="inlineStr">
        <is>
          <t>persons * rate_l_s_person * 3.6</t>
        </is>
      </c>
      <c r="D7" s="10" t="inlineStr">
        <is>
          <t>IN-018</t>
        </is>
      </c>
      <c r="E7" s="10" t="inlineStr">
        <is>
          <t>special_peak</t>
        </is>
      </c>
      <c r="F7" s="7">
        <v>200</v>
      </c>
      <c r="G7" s="7">
        <f>Inputs!$D$17*Inputs!$D$22*3.6</f>
        <v>5040.0</v>
      </c>
      <c r="H7" s="10" t="inlineStr">
        <is>
          <t>m3/h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9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PARKING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CAL-P01</t>
        </is>
      </c>
      <c r="B5" s="10" t="inlineStr">
        <is>
          <t>Available spaces regular_weekday</t>
        </is>
      </c>
      <c r="C5" s="10" t="inlineStr">
        <is>
          <t>capacity - occupied</t>
        </is>
      </c>
      <c r="D5" s="10" t="inlineStr">
        <is>
          <t>IN-019</t>
        </is>
      </c>
      <c r="E5" s="7">
        <v>110.0</v>
      </c>
      <c r="F5" s="7">
        <v>225</v>
      </c>
      <c r="G5" s="7">
        <f>Inputs!$D$23-Inputs!$D$34</f>
        <v>115.0</v>
      </c>
      <c r="H5" s="10" t="inlineStr">
        <is>
          <t>spaces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CAL-P02</t>
        </is>
      </c>
      <c r="B6" s="10" t="inlineStr">
        <is>
          <t>Available spaces friday_pre_peak</t>
        </is>
      </c>
      <c r="C6" s="10" t="inlineStr">
        <is>
          <t>capacity - occupied</t>
        </is>
      </c>
      <c r="D6" s="10" t="inlineStr">
        <is>
          <t>IN-019</t>
        </is>
      </c>
      <c r="E6" s="7">
        <v>135.0</v>
      </c>
      <c r="F6" s="7">
        <v>225</v>
      </c>
      <c r="G6" s="7">
        <f>Inputs!$D$23-Inputs!$D$35</f>
        <v>90.0</v>
      </c>
      <c r="H6" s="10" t="inlineStr">
        <is>
          <t>spaces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CAL-P03</t>
        </is>
      </c>
      <c r="B7" s="10" t="inlineStr">
        <is>
          <t>Available spaces friday_prayer_peak</t>
        </is>
      </c>
      <c r="C7" s="10" t="inlineStr">
        <is>
          <t>capacity - occupied</t>
        </is>
      </c>
      <c r="D7" s="10" t="inlineStr">
        <is>
          <t>IN-019</t>
        </is>
      </c>
      <c r="E7" s="7">
        <v>170.0</v>
      </c>
      <c r="F7" s="7">
        <v>225</v>
      </c>
      <c r="G7" s="7">
        <f>Inputs!$D$23-Inputs!$D$36</f>
        <v>55.0</v>
      </c>
      <c r="H7" s="10" t="inlineStr">
        <is>
          <t>spaces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  <row r="8" ht="18" customHeight="1">
      <c r="A8" s="10" t="inlineStr">
        <is>
          <t>CAL-P04</t>
        </is>
      </c>
      <c r="B8" s="10" t="inlineStr">
        <is>
          <t>Available spaces saturday_active_use</t>
        </is>
      </c>
      <c r="C8" s="10" t="inlineStr">
        <is>
          <t>capacity - occupied</t>
        </is>
      </c>
      <c r="D8" s="10" t="inlineStr">
        <is>
          <t>IN-019</t>
        </is>
      </c>
      <c r="E8" s="7">
        <v>145.0</v>
      </c>
      <c r="F8" s="7">
        <v>225</v>
      </c>
      <c r="G8" s="7">
        <f>Inputs!$D$23-Inputs!$D$37</f>
        <v>80.0</v>
      </c>
      <c r="H8" s="10" t="inlineStr">
        <is>
          <t>spaces</t>
        </is>
      </c>
      <c r="I8" s="10" t="inlineStr">
        <is>
          <t>CALCULATED_CONCEPT_RESULT</t>
        </is>
      </c>
      <c r="J8" s="10" t="inlineStr">
        <is>
          <t>PROFESSIONAL ACCEPTANCE CRITERION NOT APPLIED</t>
        </is>
      </c>
    </row>
    <row r="9" ht="18" customHeight="1">
      <c r="A9" s="10" t="inlineStr">
        <is>
          <t>CAL-P05</t>
        </is>
      </c>
      <c r="B9" s="10" t="inlineStr">
        <is>
          <t>Available spaces sunday_active_use</t>
        </is>
      </c>
      <c r="C9" s="10" t="inlineStr">
        <is>
          <t>capacity - occupied</t>
        </is>
      </c>
      <c r="D9" s="10" t="inlineStr">
        <is>
          <t>IN-019</t>
        </is>
      </c>
      <c r="E9" s="7">
        <v>125.0</v>
      </c>
      <c r="F9" s="7">
        <v>225</v>
      </c>
      <c r="G9" s="7">
        <f>Inputs!$D$23-Inputs!$D$38</f>
        <v>100.0</v>
      </c>
      <c r="H9" s="10" t="inlineStr">
        <is>
          <t>spaces</t>
        </is>
      </c>
      <c r="I9" s="10" t="inlineStr">
        <is>
          <t>CALCULATED_CONCEPT_RESULT</t>
        </is>
      </c>
      <c r="J9" s="10" t="inlineStr">
        <is>
          <t>PROFESSIONAL ACCEPTANCE CRITERION NOT APPLIED</t>
        </is>
      </c>
    </row>
    <row r="10" ht="18" customHeight="1">
      <c r="A10" s="10" t="inlineStr">
        <is>
          <t>CAL-P06</t>
        </is>
      </c>
      <c r="B10" s="10" t="inlineStr">
        <is>
          <t>Synthetic parking surplus regular_future</t>
        </is>
      </c>
      <c r="C10" s="10" t="inlineStr">
        <is>
          <t>minimum_available - demand</t>
        </is>
      </c>
      <c r="D10" s="10" t="inlineStr">
        <is>
          <t/>
        </is>
      </c>
      <c r="E10" s="7">
        <v>30.0</v>
      </c>
      <c r="F10" s="7">
        <v>55.0</v>
      </c>
      <c r="G10" s="7">
        <f>Inputs!$D$42-Inputs!$D$39</f>
        <v>25.0</v>
      </c>
      <c r="H10" s="10" t="inlineStr">
        <is>
          <t>spaces</t>
        </is>
      </c>
      <c r="I10" s="10" t="inlineStr">
        <is>
          <t>CALCULATED_CONCEPT_RESULT</t>
        </is>
      </c>
      <c r="J10" s="10" t="inlineStr">
        <is>
          <t>PROFESSIONAL ACCEPTANCE CRITERION NOT APPLIED</t>
        </is>
      </c>
    </row>
    <row r="11" ht="18" customHeight="1">
      <c r="A11" s="10" t="inlineStr">
        <is>
          <t>CAL-P07</t>
        </is>
      </c>
      <c r="B11" s="10" t="inlineStr">
        <is>
          <t>Synthetic parking surplus friday_future</t>
        </is>
      </c>
      <c r="C11" s="10" t="inlineStr">
        <is>
          <t>minimum_available - demand</t>
        </is>
      </c>
      <c r="D11" s="10" t="inlineStr">
        <is>
          <t/>
        </is>
      </c>
      <c r="E11" s="7">
        <v>25.0</v>
      </c>
      <c r="F11" s="7">
        <v>55.0</v>
      </c>
      <c r="G11" s="7">
        <f>Inputs!$D$42-Inputs!$D$40</f>
        <v>30.0</v>
      </c>
      <c r="H11" s="10" t="inlineStr">
        <is>
          <t>spaces</t>
        </is>
      </c>
      <c r="I11" s="10" t="inlineStr">
        <is>
          <t>CALCULATED_CONCEPT_RESULT</t>
        </is>
      </c>
      <c r="J11" s="10" t="inlineStr">
        <is>
          <t>PROFESSIONAL ACCEPTANCE CRITERION NOT APPLIED</t>
        </is>
      </c>
    </row>
    <row r="12" ht="18" customHeight="1">
      <c r="A12" s="10" t="inlineStr">
        <is>
          <t>CAL-P08</t>
        </is>
      </c>
      <c r="B12" s="10" t="inlineStr">
        <is>
          <t>Synthetic parking surplus special_peak</t>
        </is>
      </c>
      <c r="C12" s="10" t="inlineStr">
        <is>
          <t>minimum_available - demand</t>
        </is>
      </c>
      <c r="D12" s="10" t="inlineStr">
        <is>
          <t/>
        </is>
      </c>
      <c r="E12" s="7">
        <v>40.0</v>
      </c>
      <c r="F12" s="7">
        <v>55.0</v>
      </c>
      <c r="G12" s="7">
        <f>Inputs!$D$42-Inputs!$D$41</f>
        <v>15.0</v>
      </c>
      <c r="H12" s="10" t="inlineStr">
        <is>
          <t>spaces</t>
        </is>
      </c>
      <c r="I12" s="10" t="inlineStr">
        <is>
          <t>CALCULATED_CONCEPT_RESULT</t>
        </is>
      </c>
      <c r="J12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10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  <col min="8" max="8" width="38" customWidth="1"/>
    <col min="9" max="9" width="18" customWidth="1"/>
    <col min="10" max="10" width="18" customWidth="1"/>
  </cols>
  <sheetData>
    <row r="1" ht="28" customHeight="1">
      <c r="A1" s="1" t="inlineStr">
        <is>
          <t>CALCULATIONS — CONSTRUCTION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Title</t>
        </is>
      </c>
      <c r="C4" s="3" t="inlineStr">
        <is>
          <t>Formula / Method</t>
        </is>
      </c>
      <c r="D4" s="3" t="inlineStr">
        <is>
          <t>Input refs</t>
        </is>
      </c>
      <c r="E4" s="3" t="inlineStr">
        <is>
          <t>Intermediate A</t>
        </is>
      </c>
      <c r="F4" s="3" t="inlineStr">
        <is>
          <t>Intermediate B</t>
        </is>
      </c>
      <c r="G4" s="3" t="inlineStr">
        <is>
          <t>Formula result</t>
        </is>
      </c>
      <c r="H4" s="3" t="inlineStr">
        <is>
          <t>Unit</t>
        </is>
      </c>
      <c r="I4" s="3" t="inlineStr">
        <is>
          <t>Status</t>
        </is>
      </c>
      <c r="J4" s="3" t="inlineStr">
        <is>
          <t>Control / Limitation</t>
        </is>
      </c>
    </row>
    <row r="5" ht="18" customHeight="1">
      <c r="A5" s="10" t="inlineStr">
        <is>
          <t>CAL-C01</t>
        </is>
      </c>
      <c r="B5" s="10" t="inlineStr">
        <is>
          <t>Construction-phase duration</t>
        </is>
      </c>
      <c r="C5" s="10" t="inlineStr">
        <is>
          <t>sum(duration_days excluding operational use)</t>
        </is>
      </c>
      <c r="D5" s="10" t="inlineStr">
        <is>
          <t/>
        </is>
      </c>
      <c r="E5" s="10" t="inlineStr">
        <is>
          <t>See Inputs / linked calculations</t>
        </is>
      </c>
      <c r="F5" s="10" t="inlineStr">
        <is>
          <t/>
        </is>
      </c>
      <c r="G5" s="7">
        <f>SUM(Inputs!$D$30:Inputs!$D$33)</f>
        <v>95.0</v>
      </c>
      <c r="H5" s="10" t="inlineStr">
        <is>
          <t>days</t>
        </is>
      </c>
      <c r="I5" s="10" t="inlineStr">
        <is>
          <t>CALCULATED_CONCEPT_RESULT</t>
        </is>
      </c>
      <c r="J5" s="10" t="inlineStr">
        <is>
          <t>PROFESSIONAL ACCEPTANCE CRITERION NOT APPLIED</t>
        </is>
      </c>
    </row>
    <row r="6" ht="18" customHeight="1">
      <c r="A6" s="10" t="inlineStr">
        <is>
          <t>CAL-C02</t>
        </is>
      </c>
      <c r="B6" s="10" t="inlineStr">
        <is>
          <t>Synthetic equipment operating hours</t>
        </is>
      </c>
      <c r="C6" s="10" t="inlineStr">
        <is>
          <t>sum(equipment operating_hours)</t>
        </is>
      </c>
      <c r="D6" s="10" t="inlineStr">
        <is>
          <t>IN-020</t>
        </is>
      </c>
      <c r="E6" s="10" t="inlineStr">
        <is>
          <t>See Inputs / linked calculations</t>
        </is>
      </c>
      <c r="F6" s="10" t="inlineStr">
        <is>
          <t/>
        </is>
      </c>
      <c r="G6" s="7">
        <f>Inputs!$D$24</f>
        <v>496.0</v>
      </c>
      <c r="H6" s="10" t="inlineStr">
        <is>
          <t>h</t>
        </is>
      </c>
      <c r="I6" s="10" t="inlineStr">
        <is>
          <t>CALCULATED_CONCEPT_RESULT</t>
        </is>
      </c>
      <c r="J6" s="10" t="inlineStr">
        <is>
          <t>PROFESSIONAL ACCEPTANCE CRITERION NOT APPLIED</t>
        </is>
      </c>
    </row>
    <row r="7" ht="18" customHeight="1">
      <c r="A7" s="10" t="inlineStr">
        <is>
          <t>CAL-C03</t>
        </is>
      </c>
      <c r="B7" s="10" t="inlineStr">
        <is>
          <t>Synthetic transport activity</t>
        </is>
      </c>
      <c r="C7" s="10" t="inlineStr">
        <is>
          <t>sum(movements * distance_km)</t>
        </is>
      </c>
      <c r="D7" s="10" t="inlineStr">
        <is>
          <t>IN-021</t>
        </is>
      </c>
      <c r="E7" s="10" t="inlineStr">
        <is>
          <t>See Inputs / linked calculations</t>
        </is>
      </c>
      <c r="F7" s="10" t="inlineStr">
        <is>
          <t/>
        </is>
      </c>
      <c r="G7" s="7">
        <f>Inputs!$D$25</f>
        <v>6600.0</v>
      </c>
      <c r="H7" s="10" t="inlineStr">
        <is>
          <t>vehicle-km</t>
        </is>
      </c>
      <c r="I7" s="10" t="inlineStr">
        <is>
          <t>CALCULATED_CONCEPT_RESULT</t>
        </is>
      </c>
      <c r="J7" s="10" t="inlineStr">
        <is>
          <t>PROFESSIONAL ACCEPTANCE CRITERION NOT APPLIED</t>
        </is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</worksheet>
</file>

<file path=xl/worksheets/sheet1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  <col min="6" max="6" width="20" customWidth="1"/>
    <col min="7" max="7" width="24" customWidth="1"/>
  </cols>
  <sheetData>
    <row r="1" ht="28" customHeight="1">
      <c r="A1" s="1" t="inlineStr">
        <is>
          <t>TRACEABILITY MATRIX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Calculation ID</t>
        </is>
      </c>
      <c r="B4" s="3" t="inlineStr">
        <is>
          <t>Category</t>
        </is>
      </c>
      <c r="C4" s="3" t="inlineStr">
        <is>
          <t>Model object</t>
        </is>
      </c>
      <c r="D4" s="3" t="inlineStr">
        <is>
          <t>Drawing refs</t>
        </is>
      </c>
      <c r="E4" s="3" t="inlineStr">
        <is>
          <t>Report refs</t>
        </is>
      </c>
      <c r="F4" s="3" t="inlineStr">
        <is>
          <t>REQ refs</t>
        </is>
      </c>
      <c r="G4" s="3" t="inlineStr">
        <is>
          <t>Source status</t>
        </is>
      </c>
    </row>
    <row r="5" ht="18" customHeight="1">
      <c r="A5" s="10" t="inlineStr">
        <is>
          <t>CAL-A01</t>
        </is>
      </c>
      <c r="B5" s="10" t="inlineStr">
        <is>
          <t>area_volume</t>
        </is>
      </c>
      <c r="C5" s="10" t="inlineStr">
        <is>
          <t>BLD-EXTENSION</t>
        </is>
      </c>
      <c r="D5" s="10" t="inlineStr">
        <is>
          <t>A-101,A-102</t>
        </is>
      </c>
      <c r="E5" s="10" t="inlineStr">
        <is>
          <t>R-101</t>
        </is>
      </c>
      <c r="F5" s="10" t="inlineStr">
        <is>
          <t>REQ-102</t>
        </is>
      </c>
      <c r="G5" s="10" t="inlineStr">
        <is>
          <t>SIMULATION_ONLY</t>
        </is>
      </c>
    </row>
    <row r="6" ht="18" customHeight="1">
      <c r="A6" s="10" t="inlineStr">
        <is>
          <t>CAL-A02</t>
        </is>
      </c>
      <c r="B6" s="10" t="inlineStr">
        <is>
          <t>area_volume</t>
        </is>
      </c>
      <c r="C6" s="10" t="inlineStr">
        <is>
          <t>BLD-EXTENSION</t>
        </is>
      </c>
      <c r="D6" s="10" t="inlineStr">
        <is>
          <t>A-101,A-102</t>
        </is>
      </c>
      <c r="E6" s="10" t="inlineStr">
        <is>
          <t>R-001,R-101</t>
        </is>
      </c>
      <c r="F6" s="10" t="inlineStr">
        <is>
          <t>REQ-102</t>
        </is>
      </c>
      <c r="G6" s="10" t="inlineStr">
        <is>
          <t>SIMULATION_ONLY</t>
        </is>
      </c>
    </row>
    <row r="7" ht="18" customHeight="1">
      <c r="A7" s="10" t="inlineStr">
        <is>
          <t>CAL-A02</t>
        </is>
      </c>
      <c r="B7" s="10" t="inlineStr">
        <is>
          <t>area_volume</t>
        </is>
      </c>
      <c r="C7" s="10" t="inlineStr">
        <is>
          <t>L00</t>
        </is>
      </c>
      <c r="D7" s="10" t="inlineStr">
        <is>
          <t>A-101,A-102</t>
        </is>
      </c>
      <c r="E7" s="10" t="inlineStr">
        <is>
          <t>R-001,R-101</t>
        </is>
      </c>
      <c r="F7" s="10" t="inlineStr">
        <is>
          <t>REQ-102</t>
        </is>
      </c>
      <c r="G7" s="10" t="inlineStr">
        <is>
          <t>SIMULATION_ONLY</t>
        </is>
      </c>
    </row>
    <row r="8" ht="18" customHeight="1">
      <c r="A8" s="10" t="inlineStr">
        <is>
          <t>CAL-A02</t>
        </is>
      </c>
      <c r="B8" s="10" t="inlineStr">
        <is>
          <t>area_volume</t>
        </is>
      </c>
      <c r="C8" s="10" t="inlineStr">
        <is>
          <t>L01</t>
        </is>
      </c>
      <c r="D8" s="10" t="inlineStr">
        <is>
          <t>A-101,A-102</t>
        </is>
      </c>
      <c r="E8" s="10" t="inlineStr">
        <is>
          <t>R-001,R-101</t>
        </is>
      </c>
      <c r="F8" s="10" t="inlineStr">
        <is>
          <t>REQ-102</t>
        </is>
      </c>
      <c r="G8" s="10" t="inlineStr">
        <is>
          <t>SIMULATION_ONLY</t>
        </is>
      </c>
    </row>
    <row r="9" ht="18" customHeight="1">
      <c r="A9" s="10" t="inlineStr">
        <is>
          <t>CAL-A03</t>
        </is>
      </c>
      <c r="B9" s="10" t="inlineStr">
        <is>
          <t>area_volume</t>
        </is>
      </c>
      <c r="C9" s="10" t="inlineStr">
        <is>
          <t>BLD-EXTENSION</t>
        </is>
      </c>
      <c r="D9" s="10" t="inlineStr">
        <is>
          <t>A-201,A-301</t>
        </is>
      </c>
      <c r="E9" s="10" t="inlineStr">
        <is>
          <t>R-101</t>
        </is>
      </c>
      <c r="F9" s="10" t="inlineStr">
        <is>
          <t>REQ-102</t>
        </is>
      </c>
      <c r="G9" s="10" t="inlineStr">
        <is>
          <t>SIMULATION_ONLY</t>
        </is>
      </c>
    </row>
    <row r="10" ht="18" customHeight="1">
      <c r="A10" s="10" t="inlineStr">
        <is>
          <t>CAL-A04</t>
        </is>
      </c>
      <c r="B10" s="10" t="inlineStr">
        <is>
          <t>area_volume</t>
        </is>
      </c>
      <c r="C10" s="10" t="inlineStr">
        <is>
          <t>BLD-EXISTING</t>
        </is>
      </c>
      <c r="D10" s="10" t="inlineStr">
        <is>
          <t>A-101,A-102</t>
        </is>
      </c>
      <c r="E10" s="10" t="inlineStr">
        <is>
          <t>R-101</t>
        </is>
      </c>
      <c r="F10" s="10" t="inlineStr">
        <is>
          <t>REQ-102</t>
        </is>
      </c>
      <c r="G10" s="10" t="inlineStr">
        <is>
          <t>SIMULATION_ONLY</t>
        </is>
      </c>
    </row>
    <row r="11" ht="18" customHeight="1">
      <c r="A11" s="10" t="inlineStr">
        <is>
          <t>CAL-A05</t>
        </is>
      </c>
      <c r="B11" s="10" t="inlineStr">
        <is>
          <t>area_volume</t>
        </is>
      </c>
      <c r="C11" s="10" t="inlineStr">
        <is>
          <t>BLD-EXISTING</t>
        </is>
      </c>
      <c r="D11" s="10" t="inlineStr">
        <is>
          <t>A-101,A-102</t>
        </is>
      </c>
      <c r="E11" s="10" t="inlineStr">
        <is>
          <t>R-001</t>
        </is>
      </c>
      <c r="F11" s="10" t="inlineStr">
        <is>
          <t>REQ-102</t>
        </is>
      </c>
      <c r="G11" s="10" t="inlineStr">
        <is>
          <t>SIMULATION_ONLY</t>
        </is>
      </c>
    </row>
    <row r="12" ht="18" customHeight="1">
      <c r="A12" s="10" t="inlineStr">
        <is>
          <t>CAL-A05</t>
        </is>
      </c>
      <c r="B12" s="10" t="inlineStr">
        <is>
          <t>area_volume</t>
        </is>
      </c>
      <c r="C12" s="10" t="inlineStr">
        <is>
          <t>BLD-EXTENSION</t>
        </is>
      </c>
      <c r="D12" s="10" t="inlineStr">
        <is>
          <t>A-101,A-102</t>
        </is>
      </c>
      <c r="E12" s="10" t="inlineStr">
        <is>
          <t>R-001</t>
        </is>
      </c>
      <c r="F12" s="10" t="inlineStr">
        <is>
          <t>REQ-102</t>
        </is>
      </c>
      <c r="G12" s="10" t="inlineStr">
        <is>
          <t>SIMULATION_ONLY</t>
        </is>
      </c>
    </row>
    <row r="13" ht="18" customHeight="1">
      <c r="A13" s="10" t="inlineStr">
        <is>
          <t>CAL-A06</t>
        </is>
      </c>
      <c r="B13" s="10" t="inlineStr">
        <is>
          <t>area_volume</t>
        </is>
      </c>
      <c r="C13" s="10" t="inlineStr">
        <is>
          <t>SP-L00-01</t>
        </is>
      </c>
      <c r="D13" s="10" t="inlineStr">
        <is>
          <t>A-101,A-102</t>
        </is>
      </c>
      <c r="E13" s="10" t="inlineStr">
        <is>
          <t>R-101</t>
        </is>
      </c>
      <c r="F13" s="10" t="inlineStr">
        <is>
          <t>REQ-102</t>
        </is>
      </c>
      <c r="G13" s="10" t="inlineStr">
        <is>
          <t>SIMULATION_ONLY</t>
        </is>
      </c>
    </row>
    <row r="14" ht="18" customHeight="1">
      <c r="A14" s="10" t="inlineStr">
        <is>
          <t>CAL-A06</t>
        </is>
      </c>
      <c r="B14" s="10" t="inlineStr">
        <is>
          <t>area_volume</t>
        </is>
      </c>
      <c r="C14" s="10" t="inlineStr">
        <is>
          <t>SP-L00-02</t>
        </is>
      </c>
      <c r="D14" s="10" t="inlineStr">
        <is>
          <t>A-101,A-102</t>
        </is>
      </c>
      <c r="E14" s="10" t="inlineStr">
        <is>
          <t>R-101</t>
        </is>
      </c>
      <c r="F14" s="10" t="inlineStr">
        <is>
          <t>REQ-102</t>
        </is>
      </c>
      <c r="G14" s="10" t="inlineStr">
        <is>
          <t>SIMULATION_ONLY</t>
        </is>
      </c>
    </row>
    <row r="15" ht="18" customHeight="1">
      <c r="A15" s="10" t="inlineStr">
        <is>
          <t>CAL-A06</t>
        </is>
      </c>
      <c r="B15" s="10" t="inlineStr">
        <is>
          <t>area_volume</t>
        </is>
      </c>
      <c r="C15" s="10" t="inlineStr">
        <is>
          <t>SP-L00-03</t>
        </is>
      </c>
      <c r="D15" s="10" t="inlineStr">
        <is>
          <t>A-101,A-102</t>
        </is>
      </c>
      <c r="E15" s="10" t="inlineStr">
        <is>
          <t>R-101</t>
        </is>
      </c>
      <c r="F15" s="10" t="inlineStr">
        <is>
          <t>REQ-102</t>
        </is>
      </c>
      <c r="G15" s="10" t="inlineStr">
        <is>
          <t>SIMULATION_ONLY</t>
        </is>
      </c>
    </row>
    <row r="16" ht="18" customHeight="1">
      <c r="A16" s="10" t="inlineStr">
        <is>
          <t>CAL-A06</t>
        </is>
      </c>
      <c r="B16" s="10" t="inlineStr">
        <is>
          <t>area_volume</t>
        </is>
      </c>
      <c r="C16" s="10" t="inlineStr">
        <is>
          <t>SP-L00-04</t>
        </is>
      </c>
      <c r="D16" s="10" t="inlineStr">
        <is>
          <t>A-101,A-102</t>
        </is>
      </c>
      <c r="E16" s="10" t="inlineStr">
        <is>
          <t>R-101</t>
        </is>
      </c>
      <c r="F16" s="10" t="inlineStr">
        <is>
          <t>REQ-102</t>
        </is>
      </c>
      <c r="G16" s="10" t="inlineStr">
        <is>
          <t>SIMULATION_ONLY</t>
        </is>
      </c>
    </row>
    <row r="17" ht="18" customHeight="1">
      <c r="A17" s="10" t="inlineStr">
        <is>
          <t>CAL-A06</t>
        </is>
      </c>
      <c r="B17" s="10" t="inlineStr">
        <is>
          <t>area_volume</t>
        </is>
      </c>
      <c r="C17" s="10" t="inlineStr">
        <is>
          <t>SP-L00-05</t>
        </is>
      </c>
      <c r="D17" s="10" t="inlineStr">
        <is>
          <t>A-101,A-102</t>
        </is>
      </c>
      <c r="E17" s="10" t="inlineStr">
        <is>
          <t>R-101</t>
        </is>
      </c>
      <c r="F17" s="10" t="inlineStr">
        <is>
          <t>REQ-102</t>
        </is>
      </c>
      <c r="G17" s="10" t="inlineStr">
        <is>
          <t>SIMULATION_ONLY</t>
        </is>
      </c>
    </row>
    <row r="18" ht="18" customHeight="1">
      <c r="A18" s="10" t="inlineStr">
        <is>
          <t>CAL-A06</t>
        </is>
      </c>
      <c r="B18" s="10" t="inlineStr">
        <is>
          <t>area_volume</t>
        </is>
      </c>
      <c r="C18" s="10" t="inlineStr">
        <is>
          <t>SP-L00-06</t>
        </is>
      </c>
      <c r="D18" s="10" t="inlineStr">
        <is>
          <t>A-101,A-102</t>
        </is>
      </c>
      <c r="E18" s="10" t="inlineStr">
        <is>
          <t>R-101</t>
        </is>
      </c>
      <c r="F18" s="10" t="inlineStr">
        <is>
          <t>REQ-102</t>
        </is>
      </c>
      <c r="G18" s="10" t="inlineStr">
        <is>
          <t>SIMULATION_ONLY</t>
        </is>
      </c>
    </row>
    <row r="19" ht="18" customHeight="1">
      <c r="A19" s="10" t="inlineStr">
        <is>
          <t>CAL-A06</t>
        </is>
      </c>
      <c r="B19" s="10" t="inlineStr">
        <is>
          <t>area_volume</t>
        </is>
      </c>
      <c r="C19" s="10" t="inlineStr">
        <is>
          <t>SP-L01-01</t>
        </is>
      </c>
      <c r="D19" s="10" t="inlineStr">
        <is>
          <t>A-101,A-102</t>
        </is>
      </c>
      <c r="E19" s="10" t="inlineStr">
        <is>
          <t>R-101</t>
        </is>
      </c>
      <c r="F19" s="10" t="inlineStr">
        <is>
          <t>REQ-102</t>
        </is>
      </c>
      <c r="G19" s="10" t="inlineStr">
        <is>
          <t>SIMULATION_ONLY</t>
        </is>
      </c>
    </row>
    <row r="20" ht="18" customHeight="1">
      <c r="A20" s="10" t="inlineStr">
        <is>
          <t>CAL-A06</t>
        </is>
      </c>
      <c r="B20" s="10" t="inlineStr">
        <is>
          <t>area_volume</t>
        </is>
      </c>
      <c r="C20" s="10" t="inlineStr">
        <is>
          <t>SP-L01-02</t>
        </is>
      </c>
      <c r="D20" s="10" t="inlineStr">
        <is>
          <t>A-101,A-102</t>
        </is>
      </c>
      <c r="E20" s="10" t="inlineStr">
        <is>
          <t>R-101</t>
        </is>
      </c>
      <c r="F20" s="10" t="inlineStr">
        <is>
          <t>REQ-102</t>
        </is>
      </c>
      <c r="G20" s="10" t="inlineStr">
        <is>
          <t>SIMULATION_ONLY</t>
        </is>
      </c>
    </row>
    <row r="21" ht="18" customHeight="1">
      <c r="A21" s="10" t="inlineStr">
        <is>
          <t>CAL-A06</t>
        </is>
      </c>
      <c r="B21" s="10" t="inlineStr">
        <is>
          <t>area_volume</t>
        </is>
      </c>
      <c r="C21" s="10" t="inlineStr">
        <is>
          <t>SP-L01-03</t>
        </is>
      </c>
      <c r="D21" s="10" t="inlineStr">
        <is>
          <t>A-101,A-102</t>
        </is>
      </c>
      <c r="E21" s="10" t="inlineStr">
        <is>
          <t>R-101</t>
        </is>
      </c>
      <c r="F21" s="10" t="inlineStr">
        <is>
          <t>REQ-102</t>
        </is>
      </c>
      <c r="G21" s="10" t="inlineStr">
        <is>
          <t>SIMULATION_ONLY</t>
        </is>
      </c>
    </row>
    <row r="22" ht="18" customHeight="1">
      <c r="A22" s="10" t="inlineStr">
        <is>
          <t>CAL-A06</t>
        </is>
      </c>
      <c r="B22" s="10" t="inlineStr">
        <is>
          <t>area_volume</t>
        </is>
      </c>
      <c r="C22" s="10" t="inlineStr">
        <is>
          <t>SP-L01-04</t>
        </is>
      </c>
      <c r="D22" s="10" t="inlineStr">
        <is>
          <t>A-101,A-102</t>
        </is>
      </c>
      <c r="E22" s="10" t="inlineStr">
        <is>
          <t>R-101</t>
        </is>
      </c>
      <c r="F22" s="10" t="inlineStr">
        <is>
          <t>REQ-102</t>
        </is>
      </c>
      <c r="G22" s="10" t="inlineStr">
        <is>
          <t>SIMULATION_ONLY</t>
        </is>
      </c>
    </row>
    <row r="23" ht="18" customHeight="1">
      <c r="A23" s="10" t="inlineStr">
        <is>
          <t>CAL-A06</t>
        </is>
      </c>
      <c r="B23" s="10" t="inlineStr">
        <is>
          <t>area_volume</t>
        </is>
      </c>
      <c r="C23" s="10" t="inlineStr">
        <is>
          <t>SP-L01-05</t>
        </is>
      </c>
      <c r="D23" s="10" t="inlineStr">
        <is>
          <t>A-101,A-102</t>
        </is>
      </c>
      <c r="E23" s="10" t="inlineStr">
        <is>
          <t>R-101</t>
        </is>
      </c>
      <c r="F23" s="10" t="inlineStr">
        <is>
          <t>REQ-102</t>
        </is>
      </c>
      <c r="G23" s="10" t="inlineStr">
        <is>
          <t>SIMULATION_ONLY</t>
        </is>
      </c>
    </row>
    <row r="24" ht="18" customHeight="1">
      <c r="A24" s="10" t="inlineStr">
        <is>
          <t>CAL-A06</t>
        </is>
      </c>
      <c r="B24" s="10" t="inlineStr">
        <is>
          <t>area_volume</t>
        </is>
      </c>
      <c r="C24" s="10" t="inlineStr">
        <is>
          <t>SP-L01-06</t>
        </is>
      </c>
      <c r="D24" s="10" t="inlineStr">
        <is>
          <t>A-101,A-102</t>
        </is>
      </c>
      <c r="E24" s="10" t="inlineStr">
        <is>
          <t>R-101</t>
        </is>
      </c>
      <c r="F24" s="10" t="inlineStr">
        <is>
          <t>REQ-102</t>
        </is>
      </c>
      <c r="G24" s="10" t="inlineStr">
        <is>
          <t>SIMULATION_ONLY</t>
        </is>
      </c>
    </row>
    <row r="25" ht="18" customHeight="1">
      <c r="A25" s="10" t="inlineStr">
        <is>
          <t>CAL-S01</t>
        </is>
      </c>
      <c r="B25" s="10" t="inlineStr">
        <is>
          <t>structural_loads</t>
        </is>
      </c>
      <c r="C25" s="10" t="inlineStr">
        <is>
          <t>BLD-EXTENSION</t>
        </is>
      </c>
      <c r="D25" s="10" t="inlineStr">
        <is>
          <t>S-201</t>
        </is>
      </c>
      <c r="E25" s="10" t="inlineStr">
        <is>
          <t>R-201</t>
        </is>
      </c>
      <c r="F25" s="10" t="inlineStr">
        <is>
          <t>REQ-103</t>
        </is>
      </c>
      <c r="G25" s="10" t="inlineStr">
        <is>
          <t>SIMULATION_ONLY</t>
        </is>
      </c>
    </row>
    <row r="26" ht="18" customHeight="1">
      <c r="A26" s="10" t="inlineStr">
        <is>
          <t>CAL-S02</t>
        </is>
      </c>
      <c r="B26" s="10" t="inlineStr">
        <is>
          <t>structural_loads</t>
        </is>
      </c>
      <c r="C26" s="10" t="inlineStr">
        <is>
          <t>BLD-EXTENSION</t>
        </is>
      </c>
      <c r="D26" s="10" t="inlineStr">
        <is>
          <t>A-401,S-201</t>
        </is>
      </c>
      <c r="E26" s="10" t="inlineStr">
        <is>
          <t>R-201</t>
        </is>
      </c>
      <c r="F26" s="10" t="inlineStr">
        <is>
          <t>REQ-103</t>
        </is>
      </c>
      <c r="G26" s="10" t="inlineStr">
        <is>
          <t>SIMULATION_ONLY</t>
        </is>
      </c>
    </row>
    <row r="27" ht="18" customHeight="1">
      <c r="A27" s="10" t="inlineStr">
        <is>
          <t>CAL-S02</t>
        </is>
      </c>
      <c r="B27" s="10" t="inlineStr">
        <is>
          <t>structural_loads</t>
        </is>
      </c>
      <c r="C27" s="10" t="inlineStr">
        <is>
          <t>LRF</t>
        </is>
      </c>
      <c r="D27" s="10" t="inlineStr">
        <is>
          <t>A-401,S-201</t>
        </is>
      </c>
      <c r="E27" s="10" t="inlineStr">
        <is>
          <t>R-201</t>
        </is>
      </c>
      <c r="F27" s="10" t="inlineStr">
        <is>
          <t>REQ-103</t>
        </is>
      </c>
      <c r="G27" s="10" t="inlineStr">
        <is>
          <t>SIMULATION_ONLY</t>
        </is>
      </c>
    </row>
    <row r="28" ht="18" customHeight="1">
      <c r="A28" s="10" t="inlineStr">
        <is>
          <t>CAL-S03</t>
        </is>
      </c>
      <c r="B28" s="10" t="inlineStr">
        <is>
          <t>structural_loads</t>
        </is>
      </c>
      <c r="C28" s="10" t="inlineStr">
        <is>
          <t>BLD-EXTENSION</t>
        </is>
      </c>
      <c r="D28" s="10" t="inlineStr">
        <is>
          <t>S-201</t>
        </is>
      </c>
      <c r="E28" s="10" t="inlineStr">
        <is>
          <t>R-201</t>
        </is>
      </c>
      <c r="F28" s="10" t="inlineStr">
        <is>
          <t>REQ-103</t>
        </is>
      </c>
      <c r="G28" s="10" t="inlineStr">
        <is>
          <t>SIMULATION_ONLY</t>
        </is>
      </c>
    </row>
    <row r="29" ht="18" customHeight="1">
      <c r="A29" s="10" t="inlineStr">
        <is>
          <t>CAL-S04</t>
        </is>
      </c>
      <c r="B29" s="10" t="inlineStr">
        <is>
          <t>load_path</t>
        </is>
      </c>
      <c r="C29" s="10" t="inlineStr">
        <is>
          <t>CONN-001</t>
        </is>
      </c>
      <c r="D29" s="10" t="inlineStr">
        <is>
          <t>S-201</t>
        </is>
      </c>
      <c r="E29" s="10" t="inlineStr">
        <is>
          <t>R-201</t>
        </is>
      </c>
      <c r="F29" s="10" t="inlineStr">
        <is>
          <t>REQ-103</t>
        </is>
      </c>
      <c r="G29" s="10" t="inlineStr">
        <is>
          <t>SIMULATION_ONLY</t>
        </is>
      </c>
    </row>
    <row r="30" ht="18" customHeight="1">
      <c r="A30" s="10" t="inlineStr">
        <is>
          <t>CAL-S04</t>
        </is>
      </c>
      <c r="B30" s="10" t="inlineStr">
        <is>
          <t>load_path</t>
        </is>
      </c>
      <c r="C30" s="10" t="inlineStr">
        <is>
          <t>CONN-002</t>
        </is>
      </c>
      <c r="D30" s="10" t="inlineStr">
        <is>
          <t>S-201</t>
        </is>
      </c>
      <c r="E30" s="10" t="inlineStr">
        <is>
          <t>R-201</t>
        </is>
      </c>
      <c r="F30" s="10" t="inlineStr">
        <is>
          <t>REQ-103</t>
        </is>
      </c>
      <c r="G30" s="10" t="inlineStr">
        <is>
          <t>SIMULATION_ONLY</t>
        </is>
      </c>
    </row>
    <row r="31" ht="18" customHeight="1">
      <c r="A31" s="10" t="inlineStr">
        <is>
          <t>CAL-S04</t>
        </is>
      </c>
      <c r="B31" s="10" t="inlineStr">
        <is>
          <t>load_path</t>
        </is>
      </c>
      <c r="C31" s="10" t="inlineStr">
        <is>
          <t>CONN-003</t>
        </is>
      </c>
      <c r="D31" s="10" t="inlineStr">
        <is>
          <t>S-201</t>
        </is>
      </c>
      <c r="E31" s="10" t="inlineStr">
        <is>
          <t>R-201</t>
        </is>
      </c>
      <c r="F31" s="10" t="inlineStr">
        <is>
          <t>REQ-103</t>
        </is>
      </c>
      <c r="G31" s="10" t="inlineStr">
        <is>
          <t>SIMULATION_ONLY</t>
        </is>
      </c>
    </row>
    <row r="32" ht="18" customHeight="1">
      <c r="A32" s="10" t="inlineStr">
        <is>
          <t>CAL-S04</t>
        </is>
      </c>
      <c r="B32" s="10" t="inlineStr">
        <is>
          <t>load_path</t>
        </is>
      </c>
      <c r="C32" s="10" t="inlineStr">
        <is>
          <t>CONN-004</t>
        </is>
      </c>
      <c r="D32" s="10" t="inlineStr">
        <is>
          <t>S-201</t>
        </is>
      </c>
      <c r="E32" s="10" t="inlineStr">
        <is>
          <t>R-201</t>
        </is>
      </c>
      <c r="F32" s="10" t="inlineStr">
        <is>
          <t>REQ-103</t>
        </is>
      </c>
      <c r="G32" s="10" t="inlineStr">
        <is>
          <t>SIMULATION_ONLY</t>
        </is>
      </c>
    </row>
    <row r="33" ht="18" customHeight="1">
      <c r="A33" s="10" t="inlineStr">
        <is>
          <t>CAL-S05</t>
        </is>
      </c>
      <c r="B33" s="10" t="inlineStr">
        <is>
          <t>load_path</t>
        </is>
      </c>
      <c r="C33" s="10" t="inlineStr">
        <is>
          <t>BLD-EXTENSION</t>
        </is>
      </c>
      <c r="D33" s="10" t="inlineStr">
        <is>
          <t>S-201</t>
        </is>
      </c>
      <c r="E33" s="10" t="inlineStr">
        <is>
          <t>R-201</t>
        </is>
      </c>
      <c r="F33" s="10" t="inlineStr">
        <is>
          <t>REQ-103</t>
        </is>
      </c>
      <c r="G33" s="10" t="inlineStr">
        <is>
          <t>SIMULATION_ONLY</t>
        </is>
      </c>
    </row>
    <row r="34" ht="18" customHeight="1">
      <c r="A34" s="10" t="inlineStr">
        <is>
          <t>CAL-S06</t>
        </is>
      </c>
      <c r="B34" s="10" t="inlineStr">
        <is>
          <t>load_path</t>
        </is>
      </c>
      <c r="C34" s="10" t="inlineStr">
        <is>
          <t>BLD-EXTENSION</t>
        </is>
      </c>
      <c r="D34" s="10" t="inlineStr">
        <is>
          <t>S-201</t>
        </is>
      </c>
      <c r="E34" s="10" t="inlineStr">
        <is>
          <t>R-201</t>
        </is>
      </c>
      <c r="F34" s="10" t="inlineStr">
        <is>
          <t>REQ-103</t>
        </is>
      </c>
      <c r="G34" s="10" t="inlineStr">
        <is>
          <t>SIMULATION_ONLY</t>
        </is>
      </c>
    </row>
    <row r="35" ht="18" customHeight="1">
      <c r="A35" s="10" t="inlineStr">
        <is>
          <t>CAL-S07</t>
        </is>
      </c>
      <c r="B35" s="10" t="inlineStr">
        <is>
          <t>load_path</t>
        </is>
      </c>
      <c r="C35" s="10" t="inlineStr">
        <is>
          <t>BLD-EXTENSION</t>
        </is>
      </c>
      <c r="D35" s="10" t="inlineStr">
        <is>
          <t>S-201</t>
        </is>
      </c>
      <c r="E35" s="10" t="inlineStr">
        <is>
          <t>R-201</t>
        </is>
      </c>
      <c r="F35" s="10" t="inlineStr">
        <is>
          <t>REQ-103</t>
        </is>
      </c>
      <c r="G35" s="10" t="inlineStr">
        <is>
          <t>SIMULATION_ONLY</t>
        </is>
      </c>
    </row>
    <row r="36" ht="18" customHeight="1">
      <c r="A36" s="10" t="inlineStr">
        <is>
          <t>CAL-F01</t>
        </is>
      </c>
      <c r="B36" s="10" t="inlineStr">
        <is>
          <t>foundation</t>
        </is>
      </c>
      <c r="C36" s="10" t="inlineStr">
        <is>
          <t>BLD-EXTENSION</t>
        </is>
      </c>
      <c r="D36" s="10" t="inlineStr">
        <is>
          <t>S-101</t>
        </is>
      </c>
      <c r="E36" s="10" t="inlineStr">
        <is>
          <t>R-201</t>
        </is>
      </c>
      <c r="F36" s="10" t="inlineStr">
        <is>
          <t>REQ-104</t>
        </is>
      </c>
      <c r="G36" s="10" t="inlineStr">
        <is>
          <t>SIMULATION_ONLY</t>
        </is>
      </c>
    </row>
    <row r="37" ht="18" customHeight="1">
      <c r="A37" s="10" t="inlineStr">
        <is>
          <t>CAL-F02</t>
        </is>
      </c>
      <c r="B37" s="10" t="inlineStr">
        <is>
          <t>foundation</t>
        </is>
      </c>
      <c r="C37" s="10" t="inlineStr">
        <is>
          <t>BLD-EXTENSION</t>
        </is>
      </c>
      <c r="D37" s="10" t="inlineStr">
        <is>
          <t>S-101</t>
        </is>
      </c>
      <c r="E37" s="10" t="inlineStr">
        <is>
          <t>R-201</t>
        </is>
      </c>
      <c r="F37" s="10" t="inlineStr">
        <is>
          <t>REQ-104</t>
        </is>
      </c>
      <c r="G37" s="10" t="inlineStr">
        <is>
          <t>SIMULATION_ONLY</t>
        </is>
      </c>
    </row>
    <row r="38" ht="18" customHeight="1">
      <c r="A38" s="10" t="inlineStr">
        <is>
          <t>CAL-E01</t>
        </is>
      </c>
      <c r="B38" s="10" t="inlineStr">
        <is>
          <t>egress</t>
        </is>
      </c>
      <c r="C38" s="10" t="inlineStr">
        <is>
          <t>BLD-EXTENSION</t>
        </is>
      </c>
      <c r="D38" s="10" t="inlineStr">
        <is>
          <t>F-101</t>
        </is>
      </c>
      <c r="E38" s="10" t="inlineStr">
        <is>
          <t>R-301</t>
        </is>
      </c>
      <c r="F38" s="10" t="inlineStr">
        <is>
          <t>REQ-105</t>
        </is>
      </c>
      <c r="G38" s="10" t="inlineStr">
        <is>
          <t>SIMULATION_ONLY</t>
        </is>
      </c>
    </row>
    <row r="39" ht="18" customHeight="1">
      <c r="A39" s="10" t="inlineStr">
        <is>
          <t>CAL-E02</t>
        </is>
      </c>
      <c r="B39" s="10" t="inlineStr">
        <is>
          <t>egress</t>
        </is>
      </c>
      <c r="C39" s="10" t="inlineStr">
        <is>
          <t>BLD-EXTENSION</t>
        </is>
      </c>
      <c r="D39" s="10" t="inlineStr">
        <is>
          <t>F-101</t>
        </is>
      </c>
      <c r="E39" s="10" t="inlineStr">
        <is>
          <t>R-301</t>
        </is>
      </c>
      <c r="F39" s="10" t="inlineStr">
        <is>
          <t>REQ-105,REQ-107</t>
        </is>
      </c>
      <c r="G39" s="10" t="inlineStr">
        <is>
          <t>SIMULATION_ONLY</t>
        </is>
      </c>
    </row>
    <row r="40" ht="18" customHeight="1">
      <c r="A40" s="10" t="inlineStr">
        <is>
          <t>CAL-E03</t>
        </is>
      </c>
      <c r="B40" s="10" t="inlineStr">
        <is>
          <t>egress</t>
        </is>
      </c>
      <c r="C40" s="10" t="inlineStr">
        <is>
          <t>BLD-EXTENSION</t>
        </is>
      </c>
      <c r="D40" s="10" t="inlineStr">
        <is>
          <t>F-101</t>
        </is>
      </c>
      <c r="E40" s="10" t="inlineStr">
        <is>
          <t>R-301</t>
        </is>
      </c>
      <c r="F40" s="10" t="inlineStr">
        <is>
          <t>REQ-105,REQ-107</t>
        </is>
      </c>
      <c r="G40" s="10" t="inlineStr">
        <is>
          <t>SIMULATION_ONLY</t>
        </is>
      </c>
    </row>
    <row r="41" ht="18" customHeight="1">
      <c r="A41" s="10" t="inlineStr">
        <is>
          <t>CAL-V01</t>
        </is>
      </c>
      <c r="B41" s="10" t="inlineStr">
        <is>
          <t>ventilation</t>
        </is>
      </c>
      <c r="C41" s="10" t="inlineStr">
        <is>
          <t>BLD-EXISTING</t>
        </is>
      </c>
      <c r="D41" s="10" t="inlineStr">
        <is>
          <t>A-101,A-102</t>
        </is>
      </c>
      <c r="E41" s="10" t="inlineStr">
        <is>
          <t>R-301</t>
        </is>
      </c>
      <c r="F41" s="10" t="inlineStr">
        <is>
          <t>REQ-105,REQ-107</t>
        </is>
      </c>
      <c r="G41" s="10" t="inlineStr">
        <is>
          <t>SIMULATION_ONLY</t>
        </is>
      </c>
    </row>
    <row r="42" ht="18" customHeight="1">
      <c r="A42" s="10" t="inlineStr">
        <is>
          <t>CAL-V01</t>
        </is>
      </c>
      <c r="B42" s="10" t="inlineStr">
        <is>
          <t>ventilation</t>
        </is>
      </c>
      <c r="C42" s="10" t="inlineStr">
        <is>
          <t>BLD-EXTENSION</t>
        </is>
      </c>
      <c r="D42" s="10" t="inlineStr">
        <is>
          <t>A-101,A-102</t>
        </is>
      </c>
      <c r="E42" s="10" t="inlineStr">
        <is>
          <t>R-301</t>
        </is>
      </c>
      <c r="F42" s="10" t="inlineStr">
        <is>
          <t>REQ-105,REQ-107</t>
        </is>
      </c>
      <c r="G42" s="10" t="inlineStr">
        <is>
          <t>SIMULATION_ONLY</t>
        </is>
      </c>
    </row>
    <row r="43" ht="18" customHeight="1">
      <c r="A43" s="10" t="inlineStr">
        <is>
          <t>CAL-V02</t>
        </is>
      </c>
      <c r="B43" s="10" t="inlineStr">
        <is>
          <t>ventilation</t>
        </is>
      </c>
      <c r="C43" s="10" t="inlineStr">
        <is>
          <t>BLD-EXISTING</t>
        </is>
      </c>
      <c r="D43" s="10" t="inlineStr">
        <is>
          <t>A-101,A-102</t>
        </is>
      </c>
      <c r="E43" s="10" t="inlineStr">
        <is>
          <t>R-301</t>
        </is>
      </c>
      <c r="F43" s="10" t="inlineStr">
        <is>
          <t>REQ-105,REQ-107</t>
        </is>
      </c>
      <c r="G43" s="10" t="inlineStr">
        <is>
          <t>SIMULATION_ONLY</t>
        </is>
      </c>
    </row>
    <row r="44" ht="18" customHeight="1">
      <c r="A44" s="10" t="inlineStr">
        <is>
          <t>CAL-V02</t>
        </is>
      </c>
      <c r="B44" s="10" t="inlineStr">
        <is>
          <t>ventilation</t>
        </is>
      </c>
      <c r="C44" s="10" t="inlineStr">
        <is>
          <t>BLD-EXTENSION</t>
        </is>
      </c>
      <c r="D44" s="10" t="inlineStr">
        <is>
          <t>A-101,A-102</t>
        </is>
      </c>
      <c r="E44" s="10" t="inlineStr">
        <is>
          <t>R-301</t>
        </is>
      </c>
      <c r="F44" s="10" t="inlineStr">
        <is>
          <t>REQ-105,REQ-107</t>
        </is>
      </c>
      <c r="G44" s="10" t="inlineStr">
        <is>
          <t>SIMULATION_ONLY</t>
        </is>
      </c>
    </row>
    <row r="45" ht="18" customHeight="1">
      <c r="A45" s="10" t="inlineStr">
        <is>
          <t>CAL-V03</t>
        </is>
      </c>
      <c r="B45" s="10" t="inlineStr">
        <is>
          <t>ventilation</t>
        </is>
      </c>
      <c r="C45" s="10" t="inlineStr">
        <is>
          <t>BLD-EXISTING</t>
        </is>
      </c>
      <c r="D45" s="10" t="inlineStr">
        <is>
          <t>A-101,A-102</t>
        </is>
      </c>
      <c r="E45" s="10" t="inlineStr">
        <is>
          <t>R-301</t>
        </is>
      </c>
      <c r="F45" s="10" t="inlineStr">
        <is>
          <t>REQ-105,REQ-107</t>
        </is>
      </c>
      <c r="G45" s="10" t="inlineStr">
        <is>
          <t>SIMULATION_ONLY</t>
        </is>
      </c>
    </row>
    <row r="46" ht="18" customHeight="1">
      <c r="A46" s="10" t="inlineStr">
        <is>
          <t>CAL-V03</t>
        </is>
      </c>
      <c r="B46" s="10" t="inlineStr">
        <is>
          <t>ventilation</t>
        </is>
      </c>
      <c r="C46" s="10" t="inlineStr">
        <is>
          <t>BLD-EXTENSION</t>
        </is>
      </c>
      <c r="D46" s="10" t="inlineStr">
        <is>
          <t>A-101,A-102</t>
        </is>
      </c>
      <c r="E46" s="10" t="inlineStr">
        <is>
          <t>R-301</t>
        </is>
      </c>
      <c r="F46" s="10" t="inlineStr">
        <is>
          <t>REQ-105,REQ-107</t>
        </is>
      </c>
      <c r="G46" s="10" t="inlineStr">
        <is>
          <t>SIMULATION_ONLY</t>
        </is>
      </c>
    </row>
    <row r="47" ht="18" customHeight="1">
      <c r="A47" s="10" t="inlineStr">
        <is>
          <t>CAL-P01</t>
        </is>
      </c>
      <c r="B47" s="10" t="inlineStr">
        <is>
          <t>parking</t>
        </is>
      </c>
      <c r="C47" s="10" t="inlineStr">
        <is>
          <t>P-A</t>
        </is>
      </c>
      <c r="D47" s="10" t="inlineStr">
        <is>
          <t>A-001</t>
        </is>
      </c>
      <c r="E47" s="10" t="inlineStr">
        <is>
          <t>R-401</t>
        </is>
      </c>
      <c r="F47" s="10" t="inlineStr">
        <is>
          <t>REQ-106</t>
        </is>
      </c>
      <c r="G47" s="10" t="inlineStr">
        <is>
          <t>SIMULATION_ONLY</t>
        </is>
      </c>
    </row>
    <row r="48" ht="18" customHeight="1">
      <c r="A48" s="10" t="inlineStr">
        <is>
          <t>CAL-P01</t>
        </is>
      </c>
      <c r="B48" s="10" t="inlineStr">
        <is>
          <t>parking</t>
        </is>
      </c>
      <c r="C48" s="10" t="inlineStr">
        <is>
          <t>P-B</t>
        </is>
      </c>
      <c r="D48" s="10" t="inlineStr">
        <is>
          <t>A-001</t>
        </is>
      </c>
      <c r="E48" s="10" t="inlineStr">
        <is>
          <t>R-401</t>
        </is>
      </c>
      <c r="F48" s="10" t="inlineStr">
        <is>
          <t>REQ-106</t>
        </is>
      </c>
      <c r="G48" s="10" t="inlineStr">
        <is>
          <t>SIMULATION_ONLY</t>
        </is>
      </c>
    </row>
    <row r="49" ht="18" customHeight="1">
      <c r="A49" s="10" t="inlineStr">
        <is>
          <t>CAL-P01</t>
        </is>
      </c>
      <c r="B49" s="10" t="inlineStr">
        <is>
          <t>parking</t>
        </is>
      </c>
      <c r="C49" s="10" t="inlineStr">
        <is>
          <t>P-C</t>
        </is>
      </c>
      <c r="D49" s="10" t="inlineStr">
        <is>
          <t>A-001</t>
        </is>
      </c>
      <c r="E49" s="10" t="inlineStr">
        <is>
          <t>R-401</t>
        </is>
      </c>
      <c r="F49" s="10" t="inlineStr">
        <is>
          <t>REQ-106</t>
        </is>
      </c>
      <c r="G49" s="10" t="inlineStr">
        <is>
          <t>SIMULATION_ONLY</t>
        </is>
      </c>
    </row>
    <row r="50" ht="18" customHeight="1">
      <c r="A50" s="10" t="inlineStr">
        <is>
          <t>CAL-P01</t>
        </is>
      </c>
      <c r="B50" s="10" t="inlineStr">
        <is>
          <t>parking</t>
        </is>
      </c>
      <c r="C50" s="10" t="inlineStr">
        <is>
          <t>P-D</t>
        </is>
      </c>
      <c r="D50" s="10" t="inlineStr">
        <is>
          <t>A-001</t>
        </is>
      </c>
      <c r="E50" s="10" t="inlineStr">
        <is>
          <t>R-401</t>
        </is>
      </c>
      <c r="F50" s="10" t="inlineStr">
        <is>
          <t>REQ-106</t>
        </is>
      </c>
      <c r="G50" s="10" t="inlineStr">
        <is>
          <t>SIMULATION_ONLY</t>
        </is>
      </c>
    </row>
    <row r="51" ht="18" customHeight="1">
      <c r="A51" s="10" t="inlineStr">
        <is>
          <t>CAL-P01</t>
        </is>
      </c>
      <c r="B51" s="10" t="inlineStr">
        <is>
          <t>parking</t>
        </is>
      </c>
      <c r="C51" s="10" t="inlineStr">
        <is>
          <t>P-E</t>
        </is>
      </c>
      <c r="D51" s="10" t="inlineStr">
        <is>
          <t>A-001</t>
        </is>
      </c>
      <c r="E51" s="10" t="inlineStr">
        <is>
          <t>R-401</t>
        </is>
      </c>
      <c r="F51" s="10" t="inlineStr">
        <is>
          <t>REQ-106</t>
        </is>
      </c>
      <c r="G51" s="10" t="inlineStr">
        <is>
          <t>SIMULATION_ONLY</t>
        </is>
      </c>
    </row>
    <row r="52" ht="18" customHeight="1">
      <c r="A52" s="10" t="inlineStr">
        <is>
          <t>CAL-P02</t>
        </is>
      </c>
      <c r="B52" s="10" t="inlineStr">
        <is>
          <t>parking</t>
        </is>
      </c>
      <c r="C52" s="10" t="inlineStr">
        <is>
          <t>P-A</t>
        </is>
      </c>
      <c r="D52" s="10" t="inlineStr">
        <is>
          <t>A-001</t>
        </is>
      </c>
      <c r="E52" s="10" t="inlineStr">
        <is>
          <t>R-401</t>
        </is>
      </c>
      <c r="F52" s="10" t="inlineStr">
        <is>
          <t>REQ-106</t>
        </is>
      </c>
      <c r="G52" s="10" t="inlineStr">
        <is>
          <t>SIMULATION_ONLY</t>
        </is>
      </c>
    </row>
    <row r="53" ht="18" customHeight="1">
      <c r="A53" s="10" t="inlineStr">
        <is>
          <t>CAL-P02</t>
        </is>
      </c>
      <c r="B53" s="10" t="inlineStr">
        <is>
          <t>parking</t>
        </is>
      </c>
      <c r="C53" s="10" t="inlineStr">
        <is>
          <t>P-B</t>
        </is>
      </c>
      <c r="D53" s="10" t="inlineStr">
        <is>
          <t>A-001</t>
        </is>
      </c>
      <c r="E53" s="10" t="inlineStr">
        <is>
          <t>R-401</t>
        </is>
      </c>
      <c r="F53" s="10" t="inlineStr">
        <is>
          <t>REQ-106</t>
        </is>
      </c>
      <c r="G53" s="10" t="inlineStr">
        <is>
          <t>SIMULATION_ONLY</t>
        </is>
      </c>
    </row>
    <row r="54" ht="18" customHeight="1">
      <c r="A54" s="10" t="inlineStr">
        <is>
          <t>CAL-P02</t>
        </is>
      </c>
      <c r="B54" s="10" t="inlineStr">
        <is>
          <t>parking</t>
        </is>
      </c>
      <c r="C54" s="10" t="inlineStr">
        <is>
          <t>P-C</t>
        </is>
      </c>
      <c r="D54" s="10" t="inlineStr">
        <is>
          <t>A-001</t>
        </is>
      </c>
      <c r="E54" s="10" t="inlineStr">
        <is>
          <t>R-401</t>
        </is>
      </c>
      <c r="F54" s="10" t="inlineStr">
        <is>
          <t>REQ-106</t>
        </is>
      </c>
      <c r="G54" s="10" t="inlineStr">
        <is>
          <t>SIMULATION_ONLY</t>
        </is>
      </c>
    </row>
    <row r="55" ht="18" customHeight="1">
      <c r="A55" s="10" t="inlineStr">
        <is>
          <t>CAL-P02</t>
        </is>
      </c>
      <c r="B55" s="10" t="inlineStr">
        <is>
          <t>parking</t>
        </is>
      </c>
      <c r="C55" s="10" t="inlineStr">
        <is>
          <t>P-D</t>
        </is>
      </c>
      <c r="D55" s="10" t="inlineStr">
        <is>
          <t>A-001</t>
        </is>
      </c>
      <c r="E55" s="10" t="inlineStr">
        <is>
          <t>R-401</t>
        </is>
      </c>
      <c r="F55" s="10" t="inlineStr">
        <is>
          <t>REQ-106</t>
        </is>
      </c>
      <c r="G55" s="10" t="inlineStr">
        <is>
          <t>SIMULATION_ONLY</t>
        </is>
      </c>
    </row>
    <row r="56" ht="18" customHeight="1">
      <c r="A56" s="10" t="inlineStr">
        <is>
          <t>CAL-P02</t>
        </is>
      </c>
      <c r="B56" s="10" t="inlineStr">
        <is>
          <t>parking</t>
        </is>
      </c>
      <c r="C56" s="10" t="inlineStr">
        <is>
          <t>P-E</t>
        </is>
      </c>
      <c r="D56" s="10" t="inlineStr">
        <is>
          <t>A-001</t>
        </is>
      </c>
      <c r="E56" s="10" t="inlineStr">
        <is>
          <t>R-401</t>
        </is>
      </c>
      <c r="F56" s="10" t="inlineStr">
        <is>
          <t>REQ-106</t>
        </is>
      </c>
      <c r="G56" s="10" t="inlineStr">
        <is>
          <t>SIMULATION_ONLY</t>
        </is>
      </c>
    </row>
    <row r="57" ht="18" customHeight="1">
      <c r="A57" s="10" t="inlineStr">
        <is>
          <t>CAL-P03</t>
        </is>
      </c>
      <c r="B57" s="10" t="inlineStr">
        <is>
          <t>parking</t>
        </is>
      </c>
      <c r="C57" s="10" t="inlineStr">
        <is>
          <t>P-A</t>
        </is>
      </c>
      <c r="D57" s="10" t="inlineStr">
        <is>
          <t>A-001</t>
        </is>
      </c>
      <c r="E57" s="10" t="inlineStr">
        <is>
          <t>R-401</t>
        </is>
      </c>
      <c r="F57" s="10" t="inlineStr">
        <is>
          <t>REQ-106</t>
        </is>
      </c>
      <c r="G57" s="10" t="inlineStr">
        <is>
          <t>SIMULATION_ONLY</t>
        </is>
      </c>
    </row>
    <row r="58" ht="18" customHeight="1">
      <c r="A58" s="10" t="inlineStr">
        <is>
          <t>CAL-P03</t>
        </is>
      </c>
      <c r="B58" s="10" t="inlineStr">
        <is>
          <t>parking</t>
        </is>
      </c>
      <c r="C58" s="10" t="inlineStr">
        <is>
          <t>P-B</t>
        </is>
      </c>
      <c r="D58" s="10" t="inlineStr">
        <is>
          <t>A-001</t>
        </is>
      </c>
      <c r="E58" s="10" t="inlineStr">
        <is>
          <t>R-401</t>
        </is>
      </c>
      <c r="F58" s="10" t="inlineStr">
        <is>
          <t>REQ-106</t>
        </is>
      </c>
      <c r="G58" s="10" t="inlineStr">
        <is>
          <t>SIMULATION_ONLY</t>
        </is>
      </c>
    </row>
    <row r="59" ht="18" customHeight="1">
      <c r="A59" s="10" t="inlineStr">
        <is>
          <t>CAL-P03</t>
        </is>
      </c>
      <c r="B59" s="10" t="inlineStr">
        <is>
          <t>parking</t>
        </is>
      </c>
      <c r="C59" s="10" t="inlineStr">
        <is>
          <t>P-C</t>
        </is>
      </c>
      <c r="D59" s="10" t="inlineStr">
        <is>
          <t>A-001</t>
        </is>
      </c>
      <c r="E59" s="10" t="inlineStr">
        <is>
          <t>R-401</t>
        </is>
      </c>
      <c r="F59" s="10" t="inlineStr">
        <is>
          <t>REQ-106</t>
        </is>
      </c>
      <c r="G59" s="10" t="inlineStr">
        <is>
          <t>SIMULATION_ONLY</t>
        </is>
      </c>
    </row>
    <row r="60" ht="18" customHeight="1">
      <c r="A60" s="10" t="inlineStr">
        <is>
          <t>CAL-P03</t>
        </is>
      </c>
      <c r="B60" s="10" t="inlineStr">
        <is>
          <t>parking</t>
        </is>
      </c>
      <c r="C60" s="10" t="inlineStr">
        <is>
          <t>P-D</t>
        </is>
      </c>
      <c r="D60" s="10" t="inlineStr">
        <is>
          <t>A-001</t>
        </is>
      </c>
      <c r="E60" s="10" t="inlineStr">
        <is>
          <t>R-401</t>
        </is>
      </c>
      <c r="F60" s="10" t="inlineStr">
        <is>
          <t>REQ-106</t>
        </is>
      </c>
      <c r="G60" s="10" t="inlineStr">
        <is>
          <t>SIMULATION_ONLY</t>
        </is>
      </c>
    </row>
    <row r="61" ht="18" customHeight="1">
      <c r="A61" s="10" t="inlineStr">
        <is>
          <t>CAL-P03</t>
        </is>
      </c>
      <c r="B61" s="10" t="inlineStr">
        <is>
          <t>parking</t>
        </is>
      </c>
      <c r="C61" s="10" t="inlineStr">
        <is>
          <t>P-E</t>
        </is>
      </c>
      <c r="D61" s="10" t="inlineStr">
        <is>
          <t>A-001</t>
        </is>
      </c>
      <c r="E61" s="10" t="inlineStr">
        <is>
          <t>R-401</t>
        </is>
      </c>
      <c r="F61" s="10" t="inlineStr">
        <is>
          <t>REQ-106</t>
        </is>
      </c>
      <c r="G61" s="10" t="inlineStr">
        <is>
          <t>SIMULATION_ONLY</t>
        </is>
      </c>
    </row>
    <row r="62" ht="18" customHeight="1">
      <c r="A62" s="10" t="inlineStr">
        <is>
          <t>CAL-P04</t>
        </is>
      </c>
      <c r="B62" s="10" t="inlineStr">
        <is>
          <t>parking</t>
        </is>
      </c>
      <c r="C62" s="10" t="inlineStr">
        <is>
          <t>P-A</t>
        </is>
      </c>
      <c r="D62" s="10" t="inlineStr">
        <is>
          <t>A-001</t>
        </is>
      </c>
      <c r="E62" s="10" t="inlineStr">
        <is>
          <t>R-401</t>
        </is>
      </c>
      <c r="F62" s="10" t="inlineStr">
        <is>
          <t>REQ-106</t>
        </is>
      </c>
      <c r="G62" s="10" t="inlineStr">
        <is>
          <t>SIMULATION_ONLY</t>
        </is>
      </c>
    </row>
    <row r="63" ht="18" customHeight="1">
      <c r="A63" s="10" t="inlineStr">
        <is>
          <t>CAL-P04</t>
        </is>
      </c>
      <c r="B63" s="10" t="inlineStr">
        <is>
          <t>parking</t>
        </is>
      </c>
      <c r="C63" s="10" t="inlineStr">
        <is>
          <t>P-B</t>
        </is>
      </c>
      <c r="D63" s="10" t="inlineStr">
        <is>
          <t>A-001</t>
        </is>
      </c>
      <c r="E63" s="10" t="inlineStr">
        <is>
          <t>R-401</t>
        </is>
      </c>
      <c r="F63" s="10" t="inlineStr">
        <is>
          <t>REQ-106</t>
        </is>
      </c>
      <c r="G63" s="10" t="inlineStr">
        <is>
          <t>SIMULATION_ONLY</t>
        </is>
      </c>
    </row>
    <row r="64" ht="18" customHeight="1">
      <c r="A64" s="10" t="inlineStr">
        <is>
          <t>CAL-P04</t>
        </is>
      </c>
      <c r="B64" s="10" t="inlineStr">
        <is>
          <t>parking</t>
        </is>
      </c>
      <c r="C64" s="10" t="inlineStr">
        <is>
          <t>P-C</t>
        </is>
      </c>
      <c r="D64" s="10" t="inlineStr">
        <is>
          <t>A-001</t>
        </is>
      </c>
      <c r="E64" s="10" t="inlineStr">
        <is>
          <t>R-401</t>
        </is>
      </c>
      <c r="F64" s="10" t="inlineStr">
        <is>
          <t>REQ-106</t>
        </is>
      </c>
      <c r="G64" s="10" t="inlineStr">
        <is>
          <t>SIMULATION_ONLY</t>
        </is>
      </c>
    </row>
    <row r="65" ht="18" customHeight="1">
      <c r="A65" s="10" t="inlineStr">
        <is>
          <t>CAL-P04</t>
        </is>
      </c>
      <c r="B65" s="10" t="inlineStr">
        <is>
          <t>parking</t>
        </is>
      </c>
      <c r="C65" s="10" t="inlineStr">
        <is>
          <t>P-D</t>
        </is>
      </c>
      <c r="D65" s="10" t="inlineStr">
        <is>
          <t>A-001</t>
        </is>
      </c>
      <c r="E65" s="10" t="inlineStr">
        <is>
          <t>R-401</t>
        </is>
      </c>
      <c r="F65" s="10" t="inlineStr">
        <is>
          <t>REQ-106</t>
        </is>
      </c>
      <c r="G65" s="10" t="inlineStr">
        <is>
          <t>SIMULATION_ONLY</t>
        </is>
      </c>
    </row>
    <row r="66" ht="18" customHeight="1">
      <c r="A66" s="10" t="inlineStr">
        <is>
          <t>CAL-P04</t>
        </is>
      </c>
      <c r="B66" s="10" t="inlineStr">
        <is>
          <t>parking</t>
        </is>
      </c>
      <c r="C66" s="10" t="inlineStr">
        <is>
          <t>P-E</t>
        </is>
      </c>
      <c r="D66" s="10" t="inlineStr">
        <is>
          <t>A-001</t>
        </is>
      </c>
      <c r="E66" s="10" t="inlineStr">
        <is>
          <t>R-401</t>
        </is>
      </c>
      <c r="F66" s="10" t="inlineStr">
        <is>
          <t>REQ-106</t>
        </is>
      </c>
      <c r="G66" s="10" t="inlineStr">
        <is>
          <t>SIMULATION_ONLY</t>
        </is>
      </c>
    </row>
    <row r="67" ht="18" customHeight="1">
      <c r="A67" s="10" t="inlineStr">
        <is>
          <t>CAL-P05</t>
        </is>
      </c>
      <c r="B67" s="10" t="inlineStr">
        <is>
          <t>parking</t>
        </is>
      </c>
      <c r="C67" s="10" t="inlineStr">
        <is>
          <t>P-A</t>
        </is>
      </c>
      <c r="D67" s="10" t="inlineStr">
        <is>
          <t>A-001</t>
        </is>
      </c>
      <c r="E67" s="10" t="inlineStr">
        <is>
          <t>R-401</t>
        </is>
      </c>
      <c r="F67" s="10" t="inlineStr">
        <is>
          <t>REQ-106</t>
        </is>
      </c>
      <c r="G67" s="10" t="inlineStr">
        <is>
          <t>SIMULATION_ONLY</t>
        </is>
      </c>
    </row>
    <row r="68" ht="18" customHeight="1">
      <c r="A68" s="10" t="inlineStr">
        <is>
          <t>CAL-P05</t>
        </is>
      </c>
      <c r="B68" s="10" t="inlineStr">
        <is>
          <t>parking</t>
        </is>
      </c>
      <c r="C68" s="10" t="inlineStr">
        <is>
          <t>P-B</t>
        </is>
      </c>
      <c r="D68" s="10" t="inlineStr">
        <is>
          <t>A-001</t>
        </is>
      </c>
      <c r="E68" s="10" t="inlineStr">
        <is>
          <t>R-401</t>
        </is>
      </c>
      <c r="F68" s="10" t="inlineStr">
        <is>
          <t>REQ-106</t>
        </is>
      </c>
      <c r="G68" s="10" t="inlineStr">
        <is>
          <t>SIMULATION_ONLY</t>
        </is>
      </c>
    </row>
    <row r="69" ht="18" customHeight="1">
      <c r="A69" s="10" t="inlineStr">
        <is>
          <t>CAL-P05</t>
        </is>
      </c>
      <c r="B69" s="10" t="inlineStr">
        <is>
          <t>parking</t>
        </is>
      </c>
      <c r="C69" s="10" t="inlineStr">
        <is>
          <t>P-C</t>
        </is>
      </c>
      <c r="D69" s="10" t="inlineStr">
        <is>
          <t>A-001</t>
        </is>
      </c>
      <c r="E69" s="10" t="inlineStr">
        <is>
          <t>R-401</t>
        </is>
      </c>
      <c r="F69" s="10" t="inlineStr">
        <is>
          <t>REQ-106</t>
        </is>
      </c>
      <c r="G69" s="10" t="inlineStr">
        <is>
          <t>SIMULATION_ONLY</t>
        </is>
      </c>
    </row>
    <row r="70" ht="18" customHeight="1">
      <c r="A70" s="10" t="inlineStr">
        <is>
          <t>CAL-P05</t>
        </is>
      </c>
      <c r="B70" s="10" t="inlineStr">
        <is>
          <t>parking</t>
        </is>
      </c>
      <c r="C70" s="10" t="inlineStr">
        <is>
          <t>P-D</t>
        </is>
      </c>
      <c r="D70" s="10" t="inlineStr">
        <is>
          <t>A-001</t>
        </is>
      </c>
      <c r="E70" s="10" t="inlineStr">
        <is>
          <t>R-401</t>
        </is>
      </c>
      <c r="F70" s="10" t="inlineStr">
        <is>
          <t>REQ-106</t>
        </is>
      </c>
      <c r="G70" s="10" t="inlineStr">
        <is>
          <t>SIMULATION_ONLY</t>
        </is>
      </c>
    </row>
    <row r="71" ht="18" customHeight="1">
      <c r="A71" s="10" t="inlineStr">
        <is>
          <t>CAL-P05</t>
        </is>
      </c>
      <c r="B71" s="10" t="inlineStr">
        <is>
          <t>parking</t>
        </is>
      </c>
      <c r="C71" s="10" t="inlineStr">
        <is>
          <t>P-E</t>
        </is>
      </c>
      <c r="D71" s="10" t="inlineStr">
        <is>
          <t>A-001</t>
        </is>
      </c>
      <c r="E71" s="10" t="inlineStr">
        <is>
          <t>R-401</t>
        </is>
      </c>
      <c r="F71" s="10" t="inlineStr">
        <is>
          <t>REQ-106</t>
        </is>
      </c>
      <c r="G71" s="10" t="inlineStr">
        <is>
          <t>SIMULATION_ONLY</t>
        </is>
      </c>
    </row>
    <row r="72" ht="18" customHeight="1">
      <c r="A72" s="10" t="inlineStr">
        <is>
          <t>CAL-P06</t>
        </is>
      </c>
      <c r="B72" s="10" t="inlineStr">
        <is>
          <t>parking</t>
        </is>
      </c>
      <c r="C72" s="10" t="inlineStr">
        <is>
          <t>P-A</t>
        </is>
      </c>
      <c r="D72" s="10" t="inlineStr">
        <is>
          <t>A-001</t>
        </is>
      </c>
      <c r="E72" s="10" t="inlineStr">
        <is>
          <t>R-401</t>
        </is>
      </c>
      <c r="F72" s="10" t="inlineStr">
        <is>
          <t>REQ-106</t>
        </is>
      </c>
      <c r="G72" s="10" t="inlineStr">
        <is>
          <t>SIMULATION_ONLY</t>
        </is>
      </c>
    </row>
    <row r="73" ht="18" customHeight="1">
      <c r="A73" s="10" t="inlineStr">
        <is>
          <t>CAL-P06</t>
        </is>
      </c>
      <c r="B73" s="10" t="inlineStr">
        <is>
          <t>parking</t>
        </is>
      </c>
      <c r="C73" s="10" t="inlineStr">
        <is>
          <t>P-B</t>
        </is>
      </c>
      <c r="D73" s="10" t="inlineStr">
        <is>
          <t>A-001</t>
        </is>
      </c>
      <c r="E73" s="10" t="inlineStr">
        <is>
          <t>R-401</t>
        </is>
      </c>
      <c r="F73" s="10" t="inlineStr">
        <is>
          <t>REQ-106</t>
        </is>
      </c>
      <c r="G73" s="10" t="inlineStr">
        <is>
          <t>SIMULATION_ONLY</t>
        </is>
      </c>
    </row>
    <row r="74" ht="18" customHeight="1">
      <c r="A74" s="10" t="inlineStr">
        <is>
          <t>CAL-P06</t>
        </is>
      </c>
      <c r="B74" s="10" t="inlineStr">
        <is>
          <t>parking</t>
        </is>
      </c>
      <c r="C74" s="10" t="inlineStr">
        <is>
          <t>P-C</t>
        </is>
      </c>
      <c r="D74" s="10" t="inlineStr">
        <is>
          <t>A-001</t>
        </is>
      </c>
      <c r="E74" s="10" t="inlineStr">
        <is>
          <t>R-401</t>
        </is>
      </c>
      <c r="F74" s="10" t="inlineStr">
        <is>
          <t>REQ-106</t>
        </is>
      </c>
      <c r="G74" s="10" t="inlineStr">
        <is>
          <t>SIMULATION_ONLY</t>
        </is>
      </c>
    </row>
    <row r="75" ht="18" customHeight="1">
      <c r="A75" s="10" t="inlineStr">
        <is>
          <t>CAL-P06</t>
        </is>
      </c>
      <c r="B75" s="10" t="inlineStr">
        <is>
          <t>parking</t>
        </is>
      </c>
      <c r="C75" s="10" t="inlineStr">
        <is>
          <t>P-D</t>
        </is>
      </c>
      <c r="D75" s="10" t="inlineStr">
        <is>
          <t>A-001</t>
        </is>
      </c>
      <c r="E75" s="10" t="inlineStr">
        <is>
          <t>R-401</t>
        </is>
      </c>
      <c r="F75" s="10" t="inlineStr">
        <is>
          <t>REQ-106</t>
        </is>
      </c>
      <c r="G75" s="10" t="inlineStr">
        <is>
          <t>SIMULATION_ONLY</t>
        </is>
      </c>
    </row>
    <row r="76" ht="18" customHeight="1">
      <c r="A76" s="10" t="inlineStr">
        <is>
          <t>CAL-P06</t>
        </is>
      </c>
      <c r="B76" s="10" t="inlineStr">
        <is>
          <t>parking</t>
        </is>
      </c>
      <c r="C76" s="10" t="inlineStr">
        <is>
          <t>P-E</t>
        </is>
      </c>
      <c r="D76" s="10" t="inlineStr">
        <is>
          <t>A-001</t>
        </is>
      </c>
      <c r="E76" s="10" t="inlineStr">
        <is>
          <t>R-401</t>
        </is>
      </c>
      <c r="F76" s="10" t="inlineStr">
        <is>
          <t>REQ-106</t>
        </is>
      </c>
      <c r="G76" s="10" t="inlineStr">
        <is>
          <t>SIMULATION_ONLY</t>
        </is>
      </c>
    </row>
    <row r="77" ht="18" customHeight="1">
      <c r="A77" s="10" t="inlineStr">
        <is>
          <t>CAL-P07</t>
        </is>
      </c>
      <c r="B77" s="10" t="inlineStr">
        <is>
          <t>parking</t>
        </is>
      </c>
      <c r="C77" s="10" t="inlineStr">
        <is>
          <t>P-A</t>
        </is>
      </c>
      <c r="D77" s="10" t="inlineStr">
        <is>
          <t>A-001</t>
        </is>
      </c>
      <c r="E77" s="10" t="inlineStr">
        <is>
          <t>R-401</t>
        </is>
      </c>
      <c r="F77" s="10" t="inlineStr">
        <is>
          <t>REQ-106</t>
        </is>
      </c>
      <c r="G77" s="10" t="inlineStr">
        <is>
          <t>SIMULATION_ONLY</t>
        </is>
      </c>
    </row>
    <row r="78" ht="18" customHeight="1">
      <c r="A78" s="10" t="inlineStr">
        <is>
          <t>CAL-P07</t>
        </is>
      </c>
      <c r="B78" s="10" t="inlineStr">
        <is>
          <t>parking</t>
        </is>
      </c>
      <c r="C78" s="10" t="inlineStr">
        <is>
          <t>P-B</t>
        </is>
      </c>
      <c r="D78" s="10" t="inlineStr">
        <is>
          <t>A-001</t>
        </is>
      </c>
      <c r="E78" s="10" t="inlineStr">
        <is>
          <t>R-401</t>
        </is>
      </c>
      <c r="F78" s="10" t="inlineStr">
        <is>
          <t>REQ-106</t>
        </is>
      </c>
      <c r="G78" s="10" t="inlineStr">
        <is>
          <t>SIMULATION_ONLY</t>
        </is>
      </c>
    </row>
    <row r="79" ht="18" customHeight="1">
      <c r="A79" s="10" t="inlineStr">
        <is>
          <t>CAL-P07</t>
        </is>
      </c>
      <c r="B79" s="10" t="inlineStr">
        <is>
          <t>parking</t>
        </is>
      </c>
      <c r="C79" s="10" t="inlineStr">
        <is>
          <t>P-C</t>
        </is>
      </c>
      <c r="D79" s="10" t="inlineStr">
        <is>
          <t>A-001</t>
        </is>
      </c>
      <c r="E79" s="10" t="inlineStr">
        <is>
          <t>R-401</t>
        </is>
      </c>
      <c r="F79" s="10" t="inlineStr">
        <is>
          <t>REQ-106</t>
        </is>
      </c>
      <c r="G79" s="10" t="inlineStr">
        <is>
          <t>SIMULATION_ONLY</t>
        </is>
      </c>
    </row>
    <row r="80" ht="18" customHeight="1">
      <c r="A80" s="10" t="inlineStr">
        <is>
          <t>CAL-P07</t>
        </is>
      </c>
      <c r="B80" s="10" t="inlineStr">
        <is>
          <t>parking</t>
        </is>
      </c>
      <c r="C80" s="10" t="inlineStr">
        <is>
          <t>P-D</t>
        </is>
      </c>
      <c r="D80" s="10" t="inlineStr">
        <is>
          <t>A-001</t>
        </is>
      </c>
      <c r="E80" s="10" t="inlineStr">
        <is>
          <t>R-401</t>
        </is>
      </c>
      <c r="F80" s="10" t="inlineStr">
        <is>
          <t>REQ-106</t>
        </is>
      </c>
      <c r="G80" s="10" t="inlineStr">
        <is>
          <t>SIMULATION_ONLY</t>
        </is>
      </c>
    </row>
    <row r="81" ht="18" customHeight="1">
      <c r="A81" s="10" t="inlineStr">
        <is>
          <t>CAL-P07</t>
        </is>
      </c>
      <c r="B81" s="10" t="inlineStr">
        <is>
          <t>parking</t>
        </is>
      </c>
      <c r="C81" s="10" t="inlineStr">
        <is>
          <t>P-E</t>
        </is>
      </c>
      <c r="D81" s="10" t="inlineStr">
        <is>
          <t>A-001</t>
        </is>
      </c>
      <c r="E81" s="10" t="inlineStr">
        <is>
          <t>R-401</t>
        </is>
      </c>
      <c r="F81" s="10" t="inlineStr">
        <is>
          <t>REQ-106</t>
        </is>
      </c>
      <c r="G81" s="10" t="inlineStr">
        <is>
          <t>SIMULATION_ONLY</t>
        </is>
      </c>
    </row>
    <row r="82" ht="18" customHeight="1">
      <c r="A82" s="10" t="inlineStr">
        <is>
          <t>CAL-P08</t>
        </is>
      </c>
      <c r="B82" s="10" t="inlineStr">
        <is>
          <t>parking</t>
        </is>
      </c>
      <c r="C82" s="10" t="inlineStr">
        <is>
          <t>P-A</t>
        </is>
      </c>
      <c r="D82" s="10" t="inlineStr">
        <is>
          <t>A-001</t>
        </is>
      </c>
      <c r="E82" s="10" t="inlineStr">
        <is>
          <t>R-401</t>
        </is>
      </c>
      <c r="F82" s="10" t="inlineStr">
        <is>
          <t>REQ-106</t>
        </is>
      </c>
      <c r="G82" s="10" t="inlineStr">
        <is>
          <t>SIMULATION_ONLY</t>
        </is>
      </c>
    </row>
    <row r="83" ht="18" customHeight="1">
      <c r="A83" s="10" t="inlineStr">
        <is>
          <t>CAL-P08</t>
        </is>
      </c>
      <c r="B83" s="10" t="inlineStr">
        <is>
          <t>parking</t>
        </is>
      </c>
      <c r="C83" s="10" t="inlineStr">
        <is>
          <t>P-B</t>
        </is>
      </c>
      <c r="D83" s="10" t="inlineStr">
        <is>
          <t>A-001</t>
        </is>
      </c>
      <c r="E83" s="10" t="inlineStr">
        <is>
          <t>R-401</t>
        </is>
      </c>
      <c r="F83" s="10" t="inlineStr">
        <is>
          <t>REQ-106</t>
        </is>
      </c>
      <c r="G83" s="10" t="inlineStr">
        <is>
          <t>SIMULATION_ONLY</t>
        </is>
      </c>
    </row>
    <row r="84" ht="18" customHeight="1">
      <c r="A84" s="10" t="inlineStr">
        <is>
          <t>CAL-P08</t>
        </is>
      </c>
      <c r="B84" s="10" t="inlineStr">
        <is>
          <t>parking</t>
        </is>
      </c>
      <c r="C84" s="10" t="inlineStr">
        <is>
          <t>P-C</t>
        </is>
      </c>
      <c r="D84" s="10" t="inlineStr">
        <is>
          <t>A-001</t>
        </is>
      </c>
      <c r="E84" s="10" t="inlineStr">
        <is>
          <t>R-401</t>
        </is>
      </c>
      <c r="F84" s="10" t="inlineStr">
        <is>
          <t>REQ-106</t>
        </is>
      </c>
      <c r="G84" s="10" t="inlineStr">
        <is>
          <t>SIMULATION_ONLY</t>
        </is>
      </c>
    </row>
    <row r="85" ht="18" customHeight="1">
      <c r="A85" s="10" t="inlineStr">
        <is>
          <t>CAL-P08</t>
        </is>
      </c>
      <c r="B85" s="10" t="inlineStr">
        <is>
          <t>parking</t>
        </is>
      </c>
      <c r="C85" s="10" t="inlineStr">
        <is>
          <t>P-D</t>
        </is>
      </c>
      <c r="D85" s="10" t="inlineStr">
        <is>
          <t>A-001</t>
        </is>
      </c>
      <c r="E85" s="10" t="inlineStr">
        <is>
          <t>R-401</t>
        </is>
      </c>
      <c r="F85" s="10" t="inlineStr">
        <is>
          <t>REQ-106</t>
        </is>
      </c>
      <c r="G85" s="10" t="inlineStr">
        <is>
          <t>SIMULATION_ONLY</t>
        </is>
      </c>
    </row>
    <row r="86" ht="18" customHeight="1">
      <c r="A86" s="10" t="inlineStr">
        <is>
          <t>CAL-P08</t>
        </is>
      </c>
      <c r="B86" s="10" t="inlineStr">
        <is>
          <t>parking</t>
        </is>
      </c>
      <c r="C86" s="10" t="inlineStr">
        <is>
          <t>P-E</t>
        </is>
      </c>
      <c r="D86" s="10" t="inlineStr">
        <is>
          <t>A-001</t>
        </is>
      </c>
      <c r="E86" s="10" t="inlineStr">
        <is>
          <t>R-401</t>
        </is>
      </c>
      <c r="F86" s="10" t="inlineStr">
        <is>
          <t>REQ-106</t>
        </is>
      </c>
      <c r="G86" s="10" t="inlineStr">
        <is>
          <t>SIMULATION_ONLY</t>
        </is>
      </c>
    </row>
    <row r="87" ht="18" customHeight="1">
      <c r="A87" s="10" t="inlineStr">
        <is>
          <t>CAL-C01</t>
        </is>
      </c>
      <c r="B87" s="10" t="inlineStr">
        <is>
          <t>construction_activity</t>
        </is>
      </c>
      <c r="C87" s="10" t="inlineStr">
        <is>
          <t>BLD-EXTENSION</t>
        </is>
      </c>
      <c r="D87" s="10" t="inlineStr">
        <is>
          <t>X-101</t>
        </is>
      </c>
      <c r="E87" s="10" t="inlineStr">
        <is>
          <t>R-501</t>
        </is>
      </c>
      <c r="F87" s="10" t="inlineStr">
        <is>
          <t>REQ-108</t>
        </is>
      </c>
      <c r="G87" s="10" t="inlineStr">
        <is>
          <t>SIMULATION_ONLY</t>
        </is>
      </c>
    </row>
    <row r="88" ht="18" customHeight="1">
      <c r="A88" s="10" t="inlineStr">
        <is>
          <t>CAL-C02</t>
        </is>
      </c>
      <c r="B88" s="10" t="inlineStr">
        <is>
          <t>construction_activity</t>
        </is>
      </c>
      <c r="C88" s="10" t="inlineStr">
        <is>
          <t>BLD-EXTENSION</t>
        </is>
      </c>
      <c r="D88" s="10" t="inlineStr">
        <is>
          <t>X-101</t>
        </is>
      </c>
      <c r="E88" s="10" t="inlineStr">
        <is>
          <t>R-501</t>
        </is>
      </c>
      <c r="F88" s="10" t="inlineStr">
        <is>
          <t>REQ-108</t>
        </is>
      </c>
      <c r="G88" s="10" t="inlineStr">
        <is>
          <t>SIMULATION_ONLY</t>
        </is>
      </c>
    </row>
    <row r="89" ht="18" customHeight="1">
      <c r="A89" s="10" t="inlineStr">
        <is>
          <t>CAL-C03</t>
        </is>
      </c>
      <c r="B89" s="10" t="inlineStr">
        <is>
          <t>construction_activity</t>
        </is>
      </c>
      <c r="C89" s="10" t="inlineStr">
        <is>
          <t>BLD-EXTENSION</t>
        </is>
      </c>
      <c r="D89" s="10" t="inlineStr">
        <is>
          <t>X-101</t>
        </is>
      </c>
      <c r="E89" s="10" t="inlineStr">
        <is>
          <t>R-501</t>
        </is>
      </c>
      <c r="F89" s="10" t="inlineStr">
        <is>
          <t>REQ-108</t>
        </is>
      </c>
      <c r="G89" s="10" t="inlineStr">
        <is>
          <t>SIMULATION_ONLY</t>
        </is>
      </c>
    </row>
  </sheetData>
  <mergeCells count="2">
    <mergeCell ref="A1:G1"/>
    <mergeCell ref="A2:G2"/>
  </mergeCells>
  <pageMargins left="0.3" right="0.3" top="0.5" bottom="0.5" header="0.2" footer="0.2"/>
  <pageSetup orientation="landscape" fitToWidth="1" fitToHeight="0"/>
</worksheet>
</file>

<file path=xl/worksheets/sheet1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  <col min="5" max="5" width="16" customWidth="1"/>
  </cols>
  <sheetData>
    <row r="1" ht="28" customHeight="1">
      <c r="A1" s="1" t="inlineStr">
        <is>
          <t>QUALITY ASSURANCE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Check ID</t>
        </is>
      </c>
      <c r="B4" s="3" t="inlineStr">
        <is>
          <t>Topic</t>
        </is>
      </c>
      <c r="C4" s="3" t="inlineStr">
        <is>
          <t>Expected</t>
        </is>
      </c>
      <c r="D4" s="3" t="inlineStr">
        <is>
          <t>Actual</t>
        </is>
      </c>
      <c r="E4" s="3" t="inlineStr">
        <is>
          <t>Passed</t>
        </is>
      </c>
    </row>
    <row r="5" ht="18" customHeight="1">
      <c r="A5" s="10" t="inlineStr">
        <is>
          <t>QA-01</t>
        </is>
      </c>
      <c r="B5" s="10" t="inlineStr">
        <is>
          <t>extension_gross_area_m2</t>
        </is>
      </c>
      <c r="C5" s="7">
        <v>140.0</v>
      </c>
      <c r="D5" s="7">
        <v>140.0</v>
      </c>
      <c r="E5" s="8" t="b">
        <v>1</v>
      </c>
    </row>
    <row r="6" ht="18" customHeight="1">
      <c r="A6" s="10" t="inlineStr">
        <is>
          <t>QA-02</t>
        </is>
      </c>
      <c r="B6" s="10" t="inlineStr">
        <is>
          <t>total_service_gravity_load_kn</t>
        </is>
      </c>
      <c r="C6" s="7">
        <v>1335.0</v>
      </c>
      <c r="D6" s="7">
        <v>1335.0</v>
      </c>
      <c r="E6" s="8" t="b">
        <v>1</v>
      </c>
    </row>
    <row r="7" ht="18" customHeight="1">
      <c r="A7" s="10" t="inlineStr">
        <is>
          <t>QA-03</t>
        </is>
      </c>
      <c r="B7" s="10" t="inlineStr">
        <is>
          <t>representative_beam_line_load_kn_m</t>
        </is>
      </c>
      <c r="C7" s="7">
        <v>24.5</v>
      </c>
      <c r="D7" s="7">
        <v>24.5</v>
      </c>
      <c r="E7" s="8" t="b">
        <v>1</v>
      </c>
    </row>
    <row r="8" ht="18" customHeight="1">
      <c r="A8" s="10" t="inlineStr">
        <is>
          <t>QA-04</t>
        </is>
      </c>
      <c r="B8" s="10" t="inlineStr">
        <is>
          <t>representative_simple_span_moment_knm</t>
        </is>
      </c>
      <c r="C8" s="7">
        <v>76.56</v>
      </c>
      <c r="D8" s="7">
        <v>76.56</v>
      </c>
      <c r="E8" s="8" t="b">
        <v>1</v>
      </c>
    </row>
    <row r="9" ht="18" customHeight="1">
      <c r="A9" s="10" t="inlineStr">
        <is>
          <t>QA-05</t>
        </is>
      </c>
      <c r="B9" s="10" t="inlineStr">
        <is>
          <t>average_column_reaction_kn</t>
        </is>
      </c>
      <c r="C9" s="7">
        <v>148.33</v>
      </c>
      <c r="D9" s="7">
        <v>148.33</v>
      </c>
      <c r="E9" s="8" t="b">
        <v>1</v>
      </c>
    </row>
    <row r="10" ht="18" customHeight="1">
      <c r="A10" s="10" t="inlineStr">
        <is>
          <t>QA-06</t>
        </is>
      </c>
      <c r="B10" s="10" t="inlineStr">
        <is>
          <t>bearing_area_m2</t>
        </is>
      </c>
      <c r="C10" s="7">
        <v>72.0</v>
      </c>
      <c r="D10" s="7">
        <v>72.0</v>
      </c>
      <c r="E10" s="8" t="b">
        <v>1</v>
      </c>
    </row>
    <row r="11" ht="18" customHeight="1">
      <c r="A11" s="10" t="inlineStr">
        <is>
          <t>QA-07</t>
        </is>
      </c>
      <c r="B11" s="10" t="inlineStr">
        <is>
          <t>contact_pressure_kpa</t>
        </is>
      </c>
      <c r="C11" s="7">
        <v>18.54</v>
      </c>
      <c r="D11" s="7">
        <v>18.54</v>
      </c>
      <c r="E11" s="8" t="b">
        <v>1</v>
      </c>
    </row>
    <row r="12" ht="18" customHeight="1">
      <c r="A12" s="10" t="inlineStr">
        <is>
          <t>QA-08</t>
        </is>
      </c>
      <c r="B12" s="10" t="inlineStr">
        <is>
          <t>persons_per_exit</t>
        </is>
      </c>
      <c r="C12" s="7">
        <v>100.0</v>
      </c>
      <c r="D12" s="7">
        <v>100.0</v>
      </c>
      <c r="E12" s="8" t="b">
        <v>1</v>
      </c>
    </row>
    <row r="13" ht="18" customHeight="1">
      <c r="A13" s="10" t="inlineStr">
        <is>
          <t>QA-09</t>
        </is>
      </c>
      <c r="B13" s="10" t="inlineStr">
        <is>
          <t>persons_per_m_total_exit_width</t>
        </is>
      </c>
      <c r="C13" s="7">
        <v>83.33</v>
      </c>
      <c r="D13" s="7">
        <v>83.33</v>
      </c>
      <c r="E13" s="8" t="b">
        <v>1</v>
      </c>
    </row>
    <row r="14" ht="18" customHeight="1">
      <c r="A14" s="10" t="inlineStr">
        <is>
          <t>QA-10</t>
        </is>
      </c>
      <c r="B14" s="10" t="inlineStr">
        <is>
          <t>peak_ventilation_m3_h</t>
        </is>
      </c>
      <c r="C14" s="7">
        <v>5040.0</v>
      </c>
      <c r="D14" s="7">
        <v>5040.0</v>
      </c>
      <c r="E14" s="8" t="b">
        <v>1</v>
      </c>
    </row>
    <row r="15" ht="18" customHeight="1">
      <c r="A15" s="10" t="inlineStr">
        <is>
          <t>QA-11</t>
        </is>
      </c>
      <c r="B15" s="10" t="inlineStr">
        <is>
          <t>parking_capacity_spaces</t>
        </is>
      </c>
      <c r="C15" s="7">
        <v>225</v>
      </c>
      <c r="D15" s="7">
        <v>225</v>
      </c>
      <c r="E15" s="8" t="b">
        <v>1</v>
      </c>
    </row>
    <row r="16" ht="18" customHeight="1">
      <c r="A16" s="10" t="inlineStr">
        <is>
          <t>QA-12</t>
        </is>
      </c>
      <c r="B16" s="10" t="inlineStr">
        <is>
          <t>equipment_hours</t>
        </is>
      </c>
      <c r="C16" s="7">
        <v>496.0</v>
      </c>
      <c r="D16" s="7">
        <v>496.0</v>
      </c>
      <c r="E16" s="8" t="b">
        <v>1</v>
      </c>
    </row>
    <row r="17" ht="18" customHeight="1">
      <c r="A17" s="10" t="inlineStr">
        <is>
          <t>QA-13</t>
        </is>
      </c>
      <c r="B17" s="10" t="inlineStr">
        <is>
          <t>transport_vehicle_km</t>
        </is>
      </c>
      <c r="C17" s="7">
        <v>6600.0</v>
      </c>
      <c r="D17" s="7">
        <v>6600.0</v>
      </c>
      <c r="E17" s="8" t="b">
        <v>1</v>
      </c>
    </row>
    <row r="18" ht="18" customHeight="1">
      <c r="A18" s="10" t="inlineStr">
        <is>
          <t>QA-14</t>
        </is>
      </c>
      <c r="B18" s="10" t="inlineStr">
        <is>
          <t>central_model_fingerprint</t>
        </is>
      </c>
      <c r="C18" s="10" t="inlineStr">
        <is>
          <t>61c1c56f500192557d603552561dd408cfed09fe704247b26f18343d24f1af0a</t>
        </is>
      </c>
      <c r="D18" s="10" t="inlineStr">
        <is>
          <t>61c1c56f500192557d603552561dd408cfed09fe704247b26f18343d24f1af0a</t>
        </is>
      </c>
      <c r="E18" s="8" t="b">
        <v>1</v>
      </c>
    </row>
    <row r="19" ht="18" customHeight="1">
      <c r="A19" s="10" t="inlineStr">
        <is>
          <t>QA-15</t>
        </is>
      </c>
      <c r="B19" s="10" t="inlineStr">
        <is>
          <t>geometry_checks</t>
        </is>
      </c>
      <c r="C19" s="8" t="b">
        <v>1</v>
      </c>
      <c r="D19" s="8" t="b">
        <v>1</v>
      </c>
      <c r="E19" s="8" t="b">
        <v>1</v>
      </c>
    </row>
    <row r="20" ht="18" customHeight="1">
      <c r="A20" s="10" t="inlineStr">
        <is>
          <t>QA-16</t>
        </is>
      </c>
      <c r="B20" s="10" t="inlineStr">
        <is>
          <t>professional_blockers_visible</t>
        </is>
      </c>
      <c r="C20" s="7">
        <v>6</v>
      </c>
      <c r="D20" s="7">
        <v>6</v>
      </c>
      <c r="E20" s="8" t="b">
        <v>1</v>
      </c>
    </row>
    <row r="21" ht="18" customHeight="1">
      <c r="A21" s="10" t="inlineStr">
        <is>
          <t>QA-17</t>
        </is>
      </c>
      <c r="B21" s="10" t="inlineStr">
        <is>
          <t>req107_closed</t>
        </is>
      </c>
      <c r="C21" s="10" t="inlineStr">
        <is>
          <t>CLOSED_PROJECT_LEADER_APPROVED</t>
        </is>
      </c>
      <c r="D21" s="10" t="inlineStr">
        <is>
          <t>CLOSED_PROJECT_LEADER_APPROVED</t>
        </is>
      </c>
      <c r="E21" s="8" t="b">
        <v>1</v>
      </c>
    </row>
    <row r="22" ht="18" customHeight="1">
      <c r="A22" s="10" t="inlineStr">
        <is>
          <t>QA-18</t>
        </is>
      </c>
      <c r="B22" s="10" t="inlineStr">
        <is>
          <t>simulation_boundary</t>
        </is>
      </c>
      <c r="C22" s="9" t="b">
        <v>0</v>
      </c>
      <c r="D22" s="9" t="b">
        <v>0</v>
      </c>
      <c r="E22" s="8" t="b">
        <v>1</v>
      </c>
    </row>
  </sheetData>
  <mergeCells count="2">
    <mergeCell ref="A1:E1"/>
    <mergeCell ref="A2:E2"/>
  </mergeCells>
  <pageMargins left="0.3" right="0.3" top="0.5" bottom="0.5" header="0.2" footer="0.2"/>
  <pageSetup orientation="landscape" fitToWidth="1" fitToHeight="0"/>
</worksheet>
</file>

<file path=xl/worksheets/sheet1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8" customWidth="1"/>
    <col min="2" max="2" width="24" customWidth="1"/>
    <col min="3" max="3" width="36" customWidth="1"/>
    <col min="4" max="4" width="26" customWidth="1"/>
  </cols>
  <sheetData>
    <row r="1" ht="28" customHeight="1">
      <c r="A1" s="1" t="inlineStr">
        <is>
          <t>ASSUMPTIONS AND LIMITATIONS</t>
        </is>
      </c>
    </row>
    <row r="2" ht="22" customHeight="1">
      <c r="A2" s="2" t="inlineStr">
        <is>
          <t>CONCEPT CALCULATIONS - NOT FOR SUBMISSION OR EXECUTION</t>
        </is>
      </c>
    </row>
    <row r="3" ht="18" customHeight="1"/>
    <row r="4" ht="22" customHeight="1">
      <c r="A4" s="3" t="inlineStr">
        <is>
          <t>ID</t>
        </is>
      </c>
      <c r="B4" s="3" t="inlineStr">
        <is>
          <t>Topic</t>
        </is>
      </c>
      <c r="C4" s="3" t="inlineStr">
        <is>
          <t>Statement</t>
        </is>
      </c>
      <c r="D4" s="3" t="inlineStr">
        <is>
          <t>Required replacement</t>
        </is>
      </c>
    </row>
    <row r="5" ht="18" customHeight="1">
      <c r="A5" s="10" t="inlineStr">
        <is>
          <t>LIM-01</t>
        </is>
      </c>
      <c r="B5" s="10" t="inlineStr">
        <is>
          <t>general</t>
        </is>
      </c>
      <c r="C5" s="10" t="inlineStr">
        <is>
          <t>CONCEPT CALCULATIONS - NOT FOR SUBMISSION OR EXECUTION</t>
        </is>
      </c>
      <c r="D5" s="10" t="inlineStr">
        <is>
          <t>All professional evidence blockers must be closed.</t>
        </is>
      </c>
    </row>
    <row r="6" ht="18" customHeight="1">
      <c r="A6" s="10" t="inlineStr">
        <is>
          <t>LIM-02</t>
        </is>
      </c>
      <c r="B6" s="10" t="inlineStr">
        <is>
          <t>geometry</t>
        </is>
      </c>
      <c r="C6" s="10" t="inlineStr">
        <is>
          <t>Geometry is a concept model and requires REQ-102 validation.</t>
        </is>
      </c>
      <c r="D6" s="10" t="inlineStr">
        <is>
          <t>Validated survey, scale, coordinates and cadastral geometry.</t>
        </is>
      </c>
    </row>
    <row r="7" ht="18" customHeight="1">
      <c r="A7" s="10" t="inlineStr">
        <is>
          <t>LIM-03</t>
        </is>
      </c>
      <c r="B7" s="10" t="inlineStr">
        <is>
          <t>structure</t>
        </is>
      </c>
      <c r="C7" s="10" t="inlineStr">
        <is>
          <t>Loads, spans and structural system are synthetic test fixtures.</t>
        </is>
      </c>
      <c r="D7" s="10" t="inlineStr">
        <is>
          <t>Signed structural survey, combinations and member calculations.</t>
        </is>
      </c>
    </row>
    <row r="8" ht="18" customHeight="1">
      <c r="A8" s="10" t="inlineStr">
        <is>
          <t>LIM-04</t>
        </is>
      </c>
      <c r="B8" s="10" t="inlineStr">
        <is>
          <t>foundation</t>
        </is>
      </c>
      <c r="C8" s="10" t="inlineStr">
        <is>
          <t>Contact pressure is indicative; resistance and settlement are not verified.</t>
        </is>
      </c>
      <c r="D8" s="10" t="inlineStr">
        <is>
          <t>Ground investigation and signed foundation advice.</t>
        </is>
      </c>
    </row>
    <row r="9" ht="18" customHeight="1">
      <c r="A9" s="10" t="inlineStr">
        <is>
          <t>LIM-05</t>
        </is>
      </c>
      <c r="B9" s="10" t="inlineStr">
        <is>
          <t>fire_ventilation</t>
        </is>
      </c>
      <c r="C9" s="10" t="inlineStr">
        <is>
          <t>No Bbl or fire-safety compliance conclusion is made.</t>
        </is>
      </c>
      <c r="D9" s="10" t="inlineStr">
        <is>
          <t>Professional Bbl, fire and ventilation calculations.</t>
        </is>
      </c>
    </row>
    <row r="10" ht="18" customHeight="1">
      <c r="A10" s="10" t="inlineStr">
        <is>
          <t>LIM-06</t>
        </is>
      </c>
      <c r="B10" s="10" t="inlineStr">
        <is>
          <t>parking</t>
        </is>
      </c>
      <c r="C10" s="10" t="inlineStr">
        <is>
          <t>225 spaces are project-leader-confirmed but field verification is pending.</t>
        </is>
      </c>
      <c r="D10" s="10" t="inlineStr">
        <is>
          <t>Mapped inventory, field counts and professional parking balance.</t>
        </is>
      </c>
    </row>
    <row r="11" ht="18" customHeight="1">
      <c r="A11" s="10" t="inlineStr">
        <is>
          <t>LIM-07</t>
        </is>
      </c>
      <c r="B11" s="10" t="inlineStr">
        <is>
          <t>aerius</t>
        </is>
      </c>
      <c r="C11" s="10" t="inlineStr">
        <is>
          <t>Activity values are synthetic and no AERIUS deposition result is generated.</t>
        </is>
      </c>
      <c r="D11" s="10" t="inlineStr">
        <is>
          <t>Verified activity data and professional AERIUS export.</t>
        </is>
      </c>
    </row>
  </sheetData>
  <mergeCells count="2">
    <mergeCell ref="A1:D1"/>
    <mergeCell ref="A2:D2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Project Phoenix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Inputs</vt:lpstr>
      <vt:lpstr>Area_Volume</vt:lpstr>
      <vt:lpstr>Structural_Loads</vt:lpstr>
      <vt:lpstr>Load_Path</vt:lpstr>
      <vt:lpstr>Foundation</vt:lpstr>
      <vt:lpstr>Egress</vt:lpstr>
      <vt:lpstr>Ventilation</vt:lpstr>
      <vt:lpstr>Parking</vt:lpstr>
      <vt:lpstr>Construction</vt:lpstr>
      <vt:lpstr>Traceability</vt:lpstr>
      <vt:lpstr>QA</vt:lpstr>
      <vt:lpstr>Limitations</vt:lpstr>
    </vt:vector>
  </TitlesOfParts>
  <Company>A. Brewster Architects.sr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Phoenix Model-Driven Calculation Workbook</dc:title>
  <dc:creator>Project Phoenix</dc:creator>
  <cp:lastModifiedBy>Project Phoenix</cp:lastModifiedBy>
  <dcterms:created xsi:type="dcterms:W3CDTF">2026-07-28T00:00:00Z</dcterms:created>
  <dcterms:modified xsi:type="dcterms:W3CDTF">2026-07-28T00:00:00Z</dcterms:modified>
</cp:coreProperties>
</file>